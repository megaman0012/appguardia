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ideroperativo\Desktop\LUIS Y\HORARIOS 2026\"/>
    </mc:Choice>
  </mc:AlternateContent>
  <xr:revisionPtr revIDLastSave="0" documentId="13_ncr:1_{D3128C2A-3742-4B7D-87C7-D5E7C3578D4E}" xr6:coauthVersionLast="47" xr6:coauthVersionMax="47" xr10:uidLastSave="{00000000-0000-0000-0000-000000000000}"/>
  <bookViews>
    <workbookView xWindow="-120" yWindow="-120" windowWidth="20730" windowHeight="11040" tabRatio="850" firstSheet="3" activeTab="6" xr2:uid="{00000000-000D-0000-FFFF-FFFF00000000}"/>
  </bookViews>
  <sheets>
    <sheet name="DOTACION" sheetId="17" r:id="rId1"/>
    <sheet name="ESTRUCTURA" sheetId="21" r:id="rId2"/>
    <sheet name="CONTROL FLOTANTE" sheetId="33" r:id="rId3"/>
    <sheet name="NORTE" sheetId="14" r:id="rId4"/>
    <sheet name="CENTRO" sheetId="7" r:id="rId5"/>
    <sheet name="CEMENTERIO" sheetId="5" r:id="rId6"/>
    <sheet name="C.C Y LOTERIA" sheetId="25" r:id="rId7"/>
    <sheet name="REGIONAL" sheetId="19" r:id="rId8"/>
    <sheet name="RANGER" sheetId="27" r:id="rId9"/>
    <sheet name="SEMEDIC" sheetId="31" r:id="rId10"/>
    <sheet name="CASA TOTAL" sheetId="30" r:id="rId11"/>
    <sheet name="SUPERVISORES" sheetId="29" r:id="rId12"/>
    <sheet name="DHL MECANO" sheetId="32" r:id="rId13"/>
    <sheet name="Hoja1" sheetId="26" r:id="rId14"/>
    <sheet name="HORARIO FLOTANTE" sheetId="34" r:id="rId15"/>
  </sheets>
  <definedNames>
    <definedName name="_xlnm._FilterDatabase" localSheetId="5" hidden="1">CEMENTERIO!#REF!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48" i="14" l="1"/>
  <c r="AD48" i="14"/>
  <c r="V48" i="14"/>
  <c r="N48" i="14"/>
  <c r="AM40" i="25"/>
  <c r="AM41" i="25"/>
  <c r="AM42" i="25"/>
  <c r="AM43" i="25"/>
  <c r="AM44" i="25"/>
  <c r="AM45" i="25"/>
  <c r="AM46" i="25"/>
  <c r="AM39" i="25"/>
  <c r="AM39" i="31"/>
  <c r="AM38" i="31"/>
  <c r="AM37" i="31"/>
  <c r="AM35" i="31"/>
  <c r="AM34" i="31"/>
  <c r="AM32" i="31"/>
  <c r="AM31" i="31"/>
  <c r="AM30" i="31"/>
  <c r="AM28" i="31"/>
  <c r="AM27" i="31"/>
  <c r="AL26" i="31"/>
  <c r="AD26" i="31"/>
  <c r="V26" i="31"/>
  <c r="N26" i="31"/>
  <c r="AM26" i="31" s="1"/>
  <c r="AM25" i="31"/>
  <c r="AM24" i="31"/>
  <c r="AM23" i="31"/>
  <c r="AM22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29" i="25"/>
  <c r="AM28" i="25"/>
  <c r="AM52" i="7"/>
  <c r="AL46" i="7"/>
  <c r="AM45" i="7"/>
  <c r="AL45" i="7"/>
  <c r="AM44" i="7"/>
  <c r="AL44" i="7"/>
  <c r="AD46" i="7"/>
  <c r="V46" i="7"/>
  <c r="N46" i="7"/>
  <c r="AD45" i="7"/>
  <c r="V45" i="7"/>
  <c r="N45" i="7"/>
  <c r="AL46" i="29"/>
  <c r="AL45" i="29"/>
  <c r="AL44" i="29"/>
  <c r="G559" i="21"/>
  <c r="U558" i="21"/>
  <c r="Q558" i="21"/>
  <c r="M558" i="21"/>
  <c r="U557" i="21"/>
  <c r="Q557" i="21"/>
  <c r="M557" i="21"/>
  <c r="U556" i="21"/>
  <c r="Q556" i="21"/>
  <c r="U555" i="21"/>
  <c r="Q555" i="21"/>
  <c r="M555" i="21"/>
  <c r="U554" i="21"/>
  <c r="Q554" i="21"/>
  <c r="U553" i="21"/>
  <c r="Q553" i="21"/>
  <c r="M553" i="21"/>
  <c r="U552" i="21"/>
  <c r="Q552" i="21"/>
  <c r="U551" i="21"/>
  <c r="Q551" i="21"/>
  <c r="M551" i="21"/>
  <c r="U550" i="21"/>
  <c r="Q550" i="21"/>
  <c r="M550" i="21"/>
  <c r="U549" i="21"/>
  <c r="Q549" i="21"/>
  <c r="U548" i="21"/>
  <c r="Q548" i="21"/>
  <c r="M548" i="21"/>
  <c r="U547" i="21"/>
  <c r="Q547" i="21"/>
  <c r="U546" i="21"/>
  <c r="Q546" i="21"/>
  <c r="M546" i="21"/>
  <c r="U545" i="21"/>
  <c r="Q545" i="21"/>
  <c r="U544" i="21"/>
  <c r="Q544" i="21"/>
  <c r="M544" i="21"/>
  <c r="U543" i="21"/>
  <c r="Q543" i="21"/>
  <c r="U542" i="21"/>
  <c r="Q542" i="21"/>
  <c r="U541" i="21"/>
  <c r="Q541" i="21"/>
  <c r="U540" i="21"/>
  <c r="Q540" i="21"/>
  <c r="U539" i="21"/>
  <c r="Q539" i="21"/>
  <c r="U538" i="21"/>
  <c r="Q538" i="21"/>
  <c r="U537" i="21"/>
  <c r="Q537" i="21"/>
  <c r="Q536" i="21"/>
  <c r="M536" i="21"/>
  <c r="U535" i="21"/>
  <c r="Q535" i="21"/>
  <c r="U534" i="21"/>
  <c r="Q534" i="21"/>
  <c r="U533" i="21"/>
  <c r="Q533" i="21"/>
  <c r="U532" i="21"/>
  <c r="Q532" i="21"/>
  <c r="U531" i="21"/>
  <c r="Q531" i="21"/>
  <c r="M531" i="21"/>
  <c r="U530" i="21"/>
  <c r="Q530" i="21"/>
  <c r="U529" i="21"/>
  <c r="Q529" i="21"/>
  <c r="U528" i="21"/>
  <c r="Q528" i="21"/>
  <c r="U527" i="21"/>
  <c r="Q527" i="21"/>
  <c r="U526" i="21"/>
  <c r="Q526" i="21"/>
  <c r="U525" i="21"/>
  <c r="Q525" i="21"/>
  <c r="U524" i="21"/>
  <c r="Q524" i="21"/>
  <c r="U523" i="21"/>
  <c r="Q523" i="21"/>
  <c r="U522" i="21"/>
  <c r="Q522" i="21"/>
  <c r="U521" i="21"/>
  <c r="Q521" i="21"/>
  <c r="U520" i="21"/>
  <c r="Q520" i="21"/>
  <c r="M520" i="21"/>
  <c r="U519" i="21"/>
  <c r="Q519" i="21"/>
  <c r="M519" i="21"/>
  <c r="U518" i="21"/>
  <c r="Q518" i="21"/>
  <c r="U517" i="21"/>
  <c r="Q517" i="21"/>
  <c r="U516" i="21"/>
  <c r="Q516" i="21"/>
  <c r="U515" i="21"/>
  <c r="Q515" i="21"/>
  <c r="U514" i="21"/>
  <c r="Q514" i="21"/>
  <c r="M514" i="21"/>
  <c r="Q513" i="21"/>
  <c r="Q512" i="21"/>
  <c r="Q511" i="21"/>
  <c r="Q510" i="21"/>
  <c r="U509" i="21"/>
  <c r="Q509" i="21"/>
  <c r="M509" i="21"/>
  <c r="Q508" i="21"/>
  <c r="M508" i="21"/>
  <c r="U507" i="21"/>
  <c r="Q507" i="21"/>
  <c r="U506" i="21"/>
  <c r="Q506" i="21"/>
  <c r="U505" i="21"/>
  <c r="Q505" i="21"/>
  <c r="U504" i="21"/>
  <c r="Q504" i="21"/>
  <c r="U503" i="21"/>
  <c r="Q503" i="21"/>
  <c r="U502" i="21"/>
  <c r="Q502" i="21"/>
  <c r="U501" i="21"/>
  <c r="Q501" i="21"/>
  <c r="U500" i="21"/>
  <c r="Q500" i="21"/>
  <c r="U499" i="21"/>
  <c r="Q499" i="21"/>
  <c r="U498" i="21"/>
  <c r="Q498" i="21"/>
  <c r="U497" i="21"/>
  <c r="Q497" i="21"/>
  <c r="U496" i="21"/>
  <c r="Q496" i="21"/>
  <c r="U495" i="21"/>
  <c r="Q495" i="21"/>
  <c r="U494" i="21"/>
  <c r="Q494" i="21"/>
  <c r="U493" i="21"/>
  <c r="Q493" i="21"/>
  <c r="U492" i="21"/>
  <c r="Q492" i="21"/>
  <c r="U491" i="21"/>
  <c r="Q491" i="21"/>
  <c r="U490" i="21"/>
  <c r="Q490" i="21"/>
  <c r="U489" i="21"/>
  <c r="Q489" i="21"/>
  <c r="U488" i="21"/>
  <c r="Q488" i="21"/>
  <c r="U487" i="21"/>
  <c r="Q487" i="21"/>
  <c r="U486" i="21"/>
  <c r="Q486" i="21"/>
  <c r="U485" i="21"/>
  <c r="Q485" i="21"/>
  <c r="U484" i="21"/>
  <c r="Q484" i="21"/>
  <c r="U483" i="21"/>
  <c r="Q483" i="21"/>
  <c r="U482" i="21"/>
  <c r="Q482" i="21"/>
  <c r="U481" i="21"/>
  <c r="Q481" i="21"/>
  <c r="U480" i="21"/>
  <c r="Q480" i="21"/>
  <c r="Q479" i="21"/>
  <c r="M479" i="21"/>
  <c r="U478" i="21"/>
  <c r="Q478" i="21"/>
  <c r="U477" i="21"/>
  <c r="Q477" i="21"/>
  <c r="U476" i="21"/>
  <c r="Q476" i="21"/>
  <c r="U475" i="21"/>
  <c r="Q475" i="21"/>
  <c r="U474" i="21"/>
  <c r="Q474" i="21"/>
  <c r="U473" i="21"/>
  <c r="Q473" i="21"/>
  <c r="M473" i="21"/>
  <c r="U472" i="21"/>
  <c r="Q472" i="21"/>
  <c r="U471" i="21"/>
  <c r="Q471" i="21"/>
  <c r="M471" i="21"/>
  <c r="U470" i="21"/>
  <c r="Q470" i="21"/>
  <c r="U469" i="21"/>
  <c r="Q469" i="21"/>
  <c r="U468" i="21"/>
  <c r="Q468" i="21"/>
  <c r="U467" i="21"/>
  <c r="Q467" i="21"/>
  <c r="U466" i="21"/>
  <c r="Q466" i="21"/>
  <c r="U465" i="21"/>
  <c r="Q465" i="21"/>
  <c r="M465" i="21"/>
  <c r="U464" i="21"/>
  <c r="Q464" i="21"/>
  <c r="U463" i="21"/>
  <c r="Q463" i="21"/>
  <c r="U462" i="21"/>
  <c r="Q462" i="21"/>
  <c r="U461" i="21"/>
  <c r="Q461" i="21"/>
  <c r="U460" i="21"/>
  <c r="Q460" i="21"/>
  <c r="U459" i="21"/>
  <c r="Q459" i="21"/>
  <c r="U458" i="21"/>
  <c r="Q458" i="21"/>
  <c r="U457" i="21"/>
  <c r="Q457" i="21"/>
  <c r="U456" i="21"/>
  <c r="Q456" i="21"/>
  <c r="U455" i="21"/>
  <c r="Q455" i="21"/>
  <c r="U454" i="21"/>
  <c r="Q454" i="21"/>
  <c r="U453" i="21"/>
  <c r="Q453" i="21"/>
  <c r="U452" i="21"/>
  <c r="Q452" i="21"/>
  <c r="U451" i="21"/>
  <c r="Q451" i="21"/>
  <c r="U450" i="21"/>
  <c r="Q450" i="21"/>
  <c r="U449" i="21"/>
  <c r="Q449" i="21"/>
  <c r="U448" i="21"/>
  <c r="Q448" i="21"/>
  <c r="U447" i="21"/>
  <c r="Q447" i="21"/>
  <c r="M447" i="21"/>
  <c r="U446" i="21"/>
  <c r="Q446" i="21"/>
  <c r="U445" i="21"/>
  <c r="Q445" i="21"/>
  <c r="U444" i="21"/>
  <c r="Q444" i="21"/>
  <c r="U443" i="21"/>
  <c r="Q443" i="21"/>
  <c r="Q442" i="21"/>
  <c r="Q441" i="21"/>
  <c r="U440" i="21"/>
  <c r="Q440" i="21"/>
  <c r="U439" i="21"/>
  <c r="Q439" i="21"/>
  <c r="U438" i="21"/>
  <c r="Q438" i="21"/>
  <c r="U437" i="21"/>
  <c r="Q437" i="21"/>
  <c r="U436" i="21"/>
  <c r="Q436" i="21"/>
  <c r="U435" i="21"/>
  <c r="Q435" i="21"/>
  <c r="U434" i="21"/>
  <c r="Q434" i="21"/>
  <c r="Q433" i="21"/>
  <c r="Q432" i="21"/>
  <c r="M432" i="21"/>
  <c r="Q431" i="21"/>
  <c r="U430" i="21"/>
  <c r="Q430" i="21"/>
  <c r="M430" i="21"/>
  <c r="U429" i="21"/>
  <c r="Q429" i="21"/>
  <c r="U428" i="21"/>
  <c r="Q428" i="21"/>
  <c r="U427" i="21"/>
  <c r="Q427" i="21"/>
  <c r="U426" i="21"/>
  <c r="U559" i="21" s="1"/>
  <c r="Q426" i="21"/>
  <c r="M426" i="21"/>
  <c r="G421" i="21"/>
  <c r="U420" i="21"/>
  <c r="Q420" i="21"/>
  <c r="M420" i="21"/>
  <c r="U419" i="21"/>
  <c r="Q419" i="21"/>
  <c r="M419" i="21"/>
  <c r="U418" i="21"/>
  <c r="Q418" i="21"/>
  <c r="U417" i="21"/>
  <c r="Q417" i="21"/>
  <c r="M417" i="21"/>
  <c r="U416" i="21"/>
  <c r="Q416" i="21"/>
  <c r="U415" i="21"/>
  <c r="Q415" i="21"/>
  <c r="M415" i="21"/>
  <c r="U414" i="21"/>
  <c r="Q414" i="21"/>
  <c r="U413" i="21"/>
  <c r="Q413" i="21"/>
  <c r="M413" i="21"/>
  <c r="U412" i="21"/>
  <c r="Q412" i="21"/>
  <c r="M412" i="21"/>
  <c r="U411" i="21"/>
  <c r="Q411" i="21"/>
  <c r="U410" i="21"/>
  <c r="Q410" i="21"/>
  <c r="M410" i="21"/>
  <c r="U409" i="21"/>
  <c r="Q409" i="21"/>
  <c r="U408" i="21"/>
  <c r="Q408" i="21"/>
  <c r="M408" i="21"/>
  <c r="U407" i="21"/>
  <c r="Q407" i="21"/>
  <c r="U406" i="21"/>
  <c r="Q406" i="21"/>
  <c r="M406" i="21"/>
  <c r="U405" i="21"/>
  <c r="Q405" i="21"/>
  <c r="U404" i="21"/>
  <c r="Q404" i="21"/>
  <c r="U403" i="21"/>
  <c r="Q403" i="21"/>
  <c r="U402" i="21"/>
  <c r="Q402" i="21"/>
  <c r="U401" i="21"/>
  <c r="Q401" i="21"/>
  <c r="U400" i="21"/>
  <c r="Q400" i="21"/>
  <c r="U399" i="21"/>
  <c r="Q399" i="21"/>
  <c r="Q398" i="21"/>
  <c r="M398" i="21"/>
  <c r="U397" i="21"/>
  <c r="Q397" i="21"/>
  <c r="U396" i="21"/>
  <c r="Q396" i="21"/>
  <c r="U395" i="21"/>
  <c r="Q395" i="21"/>
  <c r="U394" i="21"/>
  <c r="Q394" i="21"/>
  <c r="U393" i="21"/>
  <c r="Q393" i="21"/>
  <c r="M393" i="21"/>
  <c r="U392" i="21"/>
  <c r="Q392" i="21"/>
  <c r="U391" i="21"/>
  <c r="Q391" i="21"/>
  <c r="U390" i="21"/>
  <c r="Q390" i="21"/>
  <c r="U389" i="21"/>
  <c r="Q389" i="21"/>
  <c r="U388" i="21"/>
  <c r="Q388" i="21"/>
  <c r="U387" i="21"/>
  <c r="Q387" i="21"/>
  <c r="U386" i="21"/>
  <c r="Q386" i="21"/>
  <c r="U385" i="21"/>
  <c r="Q385" i="21"/>
  <c r="U384" i="21"/>
  <c r="Q384" i="21"/>
  <c r="U383" i="21"/>
  <c r="Q383" i="21"/>
  <c r="U382" i="21"/>
  <c r="Q382" i="21"/>
  <c r="M382" i="21"/>
  <c r="U381" i="21"/>
  <c r="Q381" i="21"/>
  <c r="M381" i="21"/>
  <c r="U380" i="21"/>
  <c r="Q380" i="21"/>
  <c r="U379" i="21"/>
  <c r="Q379" i="21"/>
  <c r="U378" i="21"/>
  <c r="Q378" i="21"/>
  <c r="U377" i="21"/>
  <c r="Q377" i="21"/>
  <c r="U376" i="21"/>
  <c r="Q376" i="21"/>
  <c r="M376" i="21"/>
  <c r="Q375" i="21"/>
  <c r="Q374" i="21"/>
  <c r="Q373" i="21"/>
  <c r="Q372" i="21"/>
  <c r="U371" i="21"/>
  <c r="Q371" i="21"/>
  <c r="M371" i="21"/>
  <c r="Q370" i="21"/>
  <c r="M370" i="21"/>
  <c r="U369" i="21"/>
  <c r="Q369" i="21"/>
  <c r="U368" i="21"/>
  <c r="Q368" i="21"/>
  <c r="U367" i="21"/>
  <c r="Q367" i="21"/>
  <c r="U366" i="21"/>
  <c r="Q366" i="21"/>
  <c r="U365" i="21"/>
  <c r="Q365" i="21"/>
  <c r="U364" i="21"/>
  <c r="Q364" i="21"/>
  <c r="U363" i="21"/>
  <c r="Q363" i="21"/>
  <c r="U362" i="21"/>
  <c r="Q362" i="21"/>
  <c r="U361" i="21"/>
  <c r="Q361" i="21"/>
  <c r="U360" i="21"/>
  <c r="Q360" i="21"/>
  <c r="U359" i="21"/>
  <c r="Q359" i="21"/>
  <c r="U358" i="21"/>
  <c r="Q358" i="21"/>
  <c r="U357" i="21"/>
  <c r="Q357" i="21"/>
  <c r="U356" i="21"/>
  <c r="Q356" i="21"/>
  <c r="U355" i="21"/>
  <c r="Q355" i="21"/>
  <c r="U354" i="21"/>
  <c r="Q354" i="21"/>
  <c r="U353" i="21"/>
  <c r="Q353" i="21"/>
  <c r="U352" i="21"/>
  <c r="Q352" i="21"/>
  <c r="U351" i="21"/>
  <c r="Q351" i="21"/>
  <c r="U350" i="21"/>
  <c r="Q350" i="21"/>
  <c r="U349" i="21"/>
  <c r="Q349" i="21"/>
  <c r="U348" i="21"/>
  <c r="Q348" i="21"/>
  <c r="U347" i="21"/>
  <c r="Q347" i="21"/>
  <c r="U346" i="21"/>
  <c r="Q346" i="21"/>
  <c r="U345" i="21"/>
  <c r="Q345" i="21"/>
  <c r="U344" i="21"/>
  <c r="Q344" i="21"/>
  <c r="U343" i="21"/>
  <c r="Q343" i="21"/>
  <c r="U342" i="21"/>
  <c r="Q342" i="21"/>
  <c r="Q341" i="21"/>
  <c r="M341" i="21"/>
  <c r="U340" i="21"/>
  <c r="Q340" i="21"/>
  <c r="U339" i="21"/>
  <c r="Q339" i="21"/>
  <c r="U338" i="21"/>
  <c r="Q338" i="21"/>
  <c r="U337" i="21"/>
  <c r="Q337" i="21"/>
  <c r="U336" i="21"/>
  <c r="Q336" i="21"/>
  <c r="U335" i="21"/>
  <c r="Q335" i="21"/>
  <c r="M335" i="21"/>
  <c r="U334" i="21"/>
  <c r="Q334" i="21"/>
  <c r="U333" i="21"/>
  <c r="Q333" i="21"/>
  <c r="M333" i="21"/>
  <c r="U332" i="21"/>
  <c r="Q332" i="21"/>
  <c r="U331" i="21"/>
  <c r="Q331" i="21"/>
  <c r="U330" i="21"/>
  <c r="Q330" i="21"/>
  <c r="U329" i="21"/>
  <c r="Q329" i="21"/>
  <c r="U328" i="21"/>
  <c r="Q328" i="21"/>
  <c r="U327" i="21"/>
  <c r="Q327" i="21"/>
  <c r="M327" i="21"/>
  <c r="U326" i="21"/>
  <c r="Q326" i="21"/>
  <c r="U325" i="21"/>
  <c r="Q325" i="21"/>
  <c r="U324" i="21"/>
  <c r="Q324" i="21"/>
  <c r="U323" i="21"/>
  <c r="Q323" i="21"/>
  <c r="U322" i="21"/>
  <c r="Q322" i="21"/>
  <c r="U321" i="21"/>
  <c r="Q321" i="21"/>
  <c r="U320" i="21"/>
  <c r="Q320" i="21"/>
  <c r="U319" i="21"/>
  <c r="Q319" i="21"/>
  <c r="U318" i="21"/>
  <c r="Q318" i="21"/>
  <c r="U317" i="21"/>
  <c r="Q317" i="21"/>
  <c r="U316" i="21"/>
  <c r="Q316" i="21"/>
  <c r="U315" i="21"/>
  <c r="Q315" i="21"/>
  <c r="U314" i="21"/>
  <c r="Q314" i="21"/>
  <c r="U313" i="21"/>
  <c r="Q313" i="21"/>
  <c r="U312" i="21"/>
  <c r="Q312" i="21"/>
  <c r="U311" i="21"/>
  <c r="Q311" i="21"/>
  <c r="U310" i="21"/>
  <c r="Q310" i="21"/>
  <c r="U309" i="21"/>
  <c r="Q309" i="21"/>
  <c r="M309" i="21"/>
  <c r="U308" i="21"/>
  <c r="Q308" i="21"/>
  <c r="U307" i="21"/>
  <c r="Q307" i="21"/>
  <c r="U306" i="21"/>
  <c r="Q306" i="21"/>
  <c r="U305" i="21"/>
  <c r="Q305" i="21"/>
  <c r="Q304" i="21"/>
  <c r="Q303" i="21"/>
  <c r="U302" i="21"/>
  <c r="Q302" i="21"/>
  <c r="U301" i="21"/>
  <c r="Q301" i="21"/>
  <c r="U300" i="21"/>
  <c r="Q300" i="21"/>
  <c r="U299" i="21"/>
  <c r="Q299" i="21"/>
  <c r="U298" i="21"/>
  <c r="Q298" i="21"/>
  <c r="U297" i="21"/>
  <c r="Q297" i="21"/>
  <c r="U296" i="21"/>
  <c r="Q296" i="21"/>
  <c r="M295" i="21"/>
  <c r="U294" i="21"/>
  <c r="U421" i="21" s="1"/>
  <c r="Q294" i="21"/>
  <c r="M294" i="21"/>
  <c r="U293" i="21"/>
  <c r="Q293" i="21"/>
  <c r="U292" i="21"/>
  <c r="Q292" i="21"/>
  <c r="U291" i="21"/>
  <c r="Q291" i="21"/>
  <c r="U290" i="21"/>
  <c r="Q290" i="21"/>
  <c r="M290" i="21"/>
  <c r="G285" i="21"/>
  <c r="U284" i="21"/>
  <c r="Q284" i="21"/>
  <c r="M284" i="21"/>
  <c r="U283" i="21"/>
  <c r="Q283" i="21"/>
  <c r="M283" i="21"/>
  <c r="U282" i="21"/>
  <c r="Q282" i="21"/>
  <c r="U281" i="21"/>
  <c r="Q281" i="21"/>
  <c r="M281" i="21"/>
  <c r="U280" i="21"/>
  <c r="Q280" i="21"/>
  <c r="U279" i="21"/>
  <c r="Q279" i="21"/>
  <c r="M279" i="21"/>
  <c r="U278" i="21"/>
  <c r="Q278" i="21"/>
  <c r="U277" i="21"/>
  <c r="Q277" i="21"/>
  <c r="M277" i="21"/>
  <c r="U276" i="21"/>
  <c r="Q276" i="21"/>
  <c r="M276" i="21"/>
  <c r="U275" i="21"/>
  <c r="Q275" i="21"/>
  <c r="U274" i="21"/>
  <c r="Q274" i="21"/>
  <c r="M274" i="21"/>
  <c r="U273" i="21"/>
  <c r="Q273" i="21"/>
  <c r="U272" i="21"/>
  <c r="Q272" i="21"/>
  <c r="M272" i="21"/>
  <c r="U271" i="21"/>
  <c r="Q271" i="21"/>
  <c r="U270" i="21"/>
  <c r="Q270" i="21"/>
  <c r="M270" i="21"/>
  <c r="U269" i="21"/>
  <c r="Q269" i="21"/>
  <c r="U268" i="21"/>
  <c r="Q268" i="21"/>
  <c r="U267" i="21"/>
  <c r="Q267" i="21"/>
  <c r="U266" i="21"/>
  <c r="Q266" i="21"/>
  <c r="U265" i="21"/>
  <c r="Q265" i="21"/>
  <c r="U264" i="21"/>
  <c r="Q264" i="21"/>
  <c r="Q263" i="21"/>
  <c r="Q262" i="21"/>
  <c r="M262" i="21"/>
  <c r="U261" i="21"/>
  <c r="Q261" i="21"/>
  <c r="U260" i="21"/>
  <c r="Q260" i="21"/>
  <c r="U259" i="21"/>
  <c r="Q259" i="21"/>
  <c r="U258" i="21"/>
  <c r="Q258" i="21"/>
  <c r="U257" i="21"/>
  <c r="Q257" i="21"/>
  <c r="M257" i="21"/>
  <c r="U256" i="21"/>
  <c r="Q256" i="21"/>
  <c r="U255" i="21"/>
  <c r="Q255" i="21"/>
  <c r="U254" i="21"/>
  <c r="Q254" i="21"/>
  <c r="U253" i="21"/>
  <c r="Q253" i="21"/>
  <c r="U252" i="21"/>
  <c r="Q252" i="21"/>
  <c r="U251" i="21"/>
  <c r="Q251" i="21"/>
  <c r="M251" i="21"/>
  <c r="U250" i="21"/>
  <c r="Q250" i="21"/>
  <c r="U249" i="21"/>
  <c r="Q249" i="21"/>
  <c r="U248" i="21"/>
  <c r="Q248" i="21"/>
  <c r="U247" i="21"/>
  <c r="Q247" i="21"/>
  <c r="U246" i="21"/>
  <c r="Q246" i="21"/>
  <c r="U245" i="21"/>
  <c r="Q245" i="21"/>
  <c r="U244" i="21"/>
  <c r="Q244" i="21"/>
  <c r="U243" i="21"/>
  <c r="Q243" i="21"/>
  <c r="U242" i="21"/>
  <c r="Q242" i="21"/>
  <c r="U241" i="21"/>
  <c r="Q241" i="21"/>
  <c r="U240" i="21"/>
  <c r="Q240" i="21"/>
  <c r="U239" i="21"/>
  <c r="Q239" i="21"/>
  <c r="U238" i="21"/>
  <c r="Q238" i="21"/>
  <c r="M238" i="21"/>
  <c r="U237" i="21"/>
  <c r="Q237" i="21"/>
  <c r="M237" i="21"/>
  <c r="U236" i="21"/>
  <c r="Q236" i="21"/>
  <c r="U235" i="21"/>
  <c r="Q235" i="21"/>
  <c r="U234" i="21"/>
  <c r="Q234" i="21"/>
  <c r="U233" i="21"/>
  <c r="Q233" i="21"/>
  <c r="U232" i="21"/>
  <c r="Q232" i="21"/>
  <c r="M232" i="21"/>
  <c r="Q231" i="21"/>
  <c r="Q230" i="21"/>
  <c r="Q229" i="21"/>
  <c r="Q228" i="21"/>
  <c r="U227" i="21"/>
  <c r="Q227" i="21"/>
  <c r="M227" i="21"/>
  <c r="Q226" i="21"/>
  <c r="M226" i="21"/>
  <c r="U225" i="21"/>
  <c r="Q225" i="21"/>
  <c r="U224" i="21"/>
  <c r="Q224" i="21"/>
  <c r="U223" i="21"/>
  <c r="Q223" i="21"/>
  <c r="U222" i="21"/>
  <c r="Q222" i="21"/>
  <c r="U221" i="21"/>
  <c r="Q221" i="21"/>
  <c r="U220" i="21"/>
  <c r="Q220" i="21"/>
  <c r="U219" i="21"/>
  <c r="Q219" i="21"/>
  <c r="U218" i="21"/>
  <c r="Q218" i="21"/>
  <c r="U217" i="21"/>
  <c r="Q217" i="21"/>
  <c r="U216" i="21"/>
  <c r="Q216" i="21"/>
  <c r="U215" i="21"/>
  <c r="Q215" i="21"/>
  <c r="U214" i="21"/>
  <c r="Q214" i="21"/>
  <c r="U213" i="21"/>
  <c r="Q213" i="21"/>
  <c r="U212" i="21"/>
  <c r="Q212" i="21"/>
  <c r="U211" i="21"/>
  <c r="Q211" i="21"/>
  <c r="U210" i="21"/>
  <c r="Q210" i="21"/>
  <c r="U209" i="21"/>
  <c r="Q209" i="21"/>
  <c r="U208" i="21"/>
  <c r="Q208" i="21"/>
  <c r="U207" i="21"/>
  <c r="Q207" i="21"/>
  <c r="U206" i="21"/>
  <c r="Q206" i="21"/>
  <c r="C206" i="21"/>
  <c r="U205" i="21"/>
  <c r="Q205" i="21"/>
  <c r="U204" i="21"/>
  <c r="Q204" i="21"/>
  <c r="U203" i="21"/>
  <c r="Q203" i="21"/>
  <c r="U202" i="21"/>
  <c r="Q202" i="21"/>
  <c r="U201" i="21"/>
  <c r="Q201" i="21"/>
  <c r="U200" i="21"/>
  <c r="Q200" i="21"/>
  <c r="U199" i="21"/>
  <c r="Q199" i="21"/>
  <c r="U198" i="21"/>
  <c r="Q198" i="21"/>
  <c r="Q197" i="21"/>
  <c r="M197" i="21"/>
  <c r="U196" i="21"/>
  <c r="Q196" i="21"/>
  <c r="U195" i="21"/>
  <c r="Q195" i="21"/>
  <c r="U194" i="21"/>
  <c r="Q194" i="21"/>
  <c r="U193" i="21"/>
  <c r="Q193" i="21"/>
  <c r="U192" i="21"/>
  <c r="Q192" i="21"/>
  <c r="U191" i="21"/>
  <c r="Q191" i="21"/>
  <c r="M191" i="21"/>
  <c r="C191" i="21"/>
  <c r="U190" i="21"/>
  <c r="Q190" i="21"/>
  <c r="U189" i="21"/>
  <c r="Q189" i="21"/>
  <c r="M189" i="21"/>
  <c r="U188" i="21"/>
  <c r="Q188" i="21"/>
  <c r="U187" i="21"/>
  <c r="Q187" i="21"/>
  <c r="U186" i="21"/>
  <c r="Q186" i="21"/>
  <c r="U185" i="21"/>
  <c r="Q185" i="21"/>
  <c r="U184" i="21"/>
  <c r="Q184" i="21"/>
  <c r="U183" i="21"/>
  <c r="Q183" i="21"/>
  <c r="M183" i="21"/>
  <c r="U182" i="21"/>
  <c r="Q182" i="21"/>
  <c r="U181" i="21"/>
  <c r="Q181" i="21"/>
  <c r="U180" i="21"/>
  <c r="Q180" i="21"/>
  <c r="U179" i="21"/>
  <c r="Q179" i="21"/>
  <c r="U178" i="21"/>
  <c r="Q178" i="21"/>
  <c r="U177" i="21"/>
  <c r="Q177" i="21"/>
  <c r="U176" i="21"/>
  <c r="Q176" i="21"/>
  <c r="U175" i="21"/>
  <c r="Q175" i="21"/>
  <c r="U174" i="21"/>
  <c r="Q174" i="21"/>
  <c r="U173" i="21"/>
  <c r="Q173" i="21"/>
  <c r="U172" i="21"/>
  <c r="Q172" i="21"/>
  <c r="U171" i="21"/>
  <c r="Q171" i="21"/>
  <c r="U170" i="21"/>
  <c r="Q170" i="21"/>
  <c r="U169" i="21"/>
  <c r="Q169" i="21"/>
  <c r="U168" i="21"/>
  <c r="Q168" i="21"/>
  <c r="U167" i="21"/>
  <c r="Q167" i="21"/>
  <c r="U166" i="21"/>
  <c r="Q166" i="21"/>
  <c r="U165" i="21"/>
  <c r="Q165" i="21"/>
  <c r="M165" i="21"/>
  <c r="U164" i="21"/>
  <c r="Q164" i="21"/>
  <c r="U163" i="21"/>
  <c r="Q163" i="21"/>
  <c r="U162" i="21"/>
  <c r="Q162" i="21"/>
  <c r="U161" i="21"/>
  <c r="Q161" i="21"/>
  <c r="Q160" i="21"/>
  <c r="Q159" i="21"/>
  <c r="U158" i="21"/>
  <c r="Q158" i="21"/>
  <c r="U157" i="21"/>
  <c r="Q157" i="21"/>
  <c r="U156" i="21"/>
  <c r="Q156" i="21"/>
  <c r="U155" i="21"/>
  <c r="Q155" i="21"/>
  <c r="U154" i="21"/>
  <c r="Q154" i="21"/>
  <c r="U153" i="21"/>
  <c r="Q153" i="21"/>
  <c r="U152" i="21"/>
  <c r="Q152" i="21"/>
  <c r="M151" i="21"/>
  <c r="U150" i="21"/>
  <c r="Q150" i="21"/>
  <c r="M150" i="21"/>
  <c r="U149" i="21"/>
  <c r="Q149" i="21"/>
  <c r="U148" i="21"/>
  <c r="U285" i="21" s="1"/>
  <c r="Q148" i="21"/>
  <c r="U147" i="21"/>
  <c r="Q147" i="21"/>
  <c r="U146" i="21"/>
  <c r="Q146" i="21"/>
  <c r="M146" i="21" s="1"/>
  <c r="G141" i="21"/>
  <c r="U140" i="21"/>
  <c r="Q140" i="21"/>
  <c r="M140" i="21"/>
  <c r="U139" i="21"/>
  <c r="Q139" i="21"/>
  <c r="M139" i="21"/>
  <c r="U138" i="21"/>
  <c r="Q138" i="21"/>
  <c r="U137" i="21"/>
  <c r="Q137" i="21"/>
  <c r="M137" i="21"/>
  <c r="U136" i="21"/>
  <c r="Q136" i="21"/>
  <c r="U135" i="21"/>
  <c r="Q135" i="21"/>
  <c r="M135" i="21"/>
  <c r="U134" i="21"/>
  <c r="Q134" i="21"/>
  <c r="U133" i="21"/>
  <c r="Q133" i="21"/>
  <c r="M133" i="21"/>
  <c r="U132" i="21"/>
  <c r="Q132" i="21"/>
  <c r="M132" i="21"/>
  <c r="U131" i="21"/>
  <c r="Q131" i="21"/>
  <c r="U130" i="21"/>
  <c r="Q130" i="21"/>
  <c r="M130" i="21"/>
  <c r="U129" i="21"/>
  <c r="Q129" i="21"/>
  <c r="U128" i="21"/>
  <c r="Q128" i="21"/>
  <c r="M128" i="21"/>
  <c r="U127" i="21"/>
  <c r="Q127" i="21"/>
  <c r="U126" i="21"/>
  <c r="Q126" i="21"/>
  <c r="M126" i="21"/>
  <c r="U125" i="21"/>
  <c r="Q125" i="21"/>
  <c r="U124" i="21"/>
  <c r="Q124" i="21"/>
  <c r="U123" i="21"/>
  <c r="Q123" i="21"/>
  <c r="U122" i="21"/>
  <c r="Q122" i="21"/>
  <c r="U121" i="21"/>
  <c r="Q121" i="21"/>
  <c r="U120" i="21"/>
  <c r="Q120" i="21"/>
  <c r="U119" i="21"/>
  <c r="Q119" i="21"/>
  <c r="U118" i="21"/>
  <c r="Q118" i="21"/>
  <c r="U117" i="21"/>
  <c r="Q117" i="21"/>
  <c r="U116" i="21"/>
  <c r="Q116" i="21"/>
  <c r="U115" i="21"/>
  <c r="Q115" i="21"/>
  <c r="U114" i="21"/>
  <c r="Q114" i="21"/>
  <c r="M114" i="21"/>
  <c r="U113" i="21"/>
  <c r="Q113" i="21"/>
  <c r="U112" i="21"/>
  <c r="Q112" i="21"/>
  <c r="U111" i="21"/>
  <c r="Q111" i="21"/>
  <c r="U110" i="21"/>
  <c r="Q110" i="21"/>
  <c r="U109" i="21"/>
  <c r="Q109" i="21"/>
  <c r="U108" i="21"/>
  <c r="Q108" i="21"/>
  <c r="M108" i="21"/>
  <c r="U107" i="21"/>
  <c r="Q107" i="21"/>
  <c r="U106" i="21"/>
  <c r="Q106" i="21"/>
  <c r="U105" i="21"/>
  <c r="Q105" i="21"/>
  <c r="U104" i="21"/>
  <c r="Q104" i="21"/>
  <c r="U103" i="21"/>
  <c r="Q103" i="21"/>
  <c r="U102" i="21"/>
  <c r="Q102" i="21"/>
  <c r="U101" i="21"/>
  <c r="Q101" i="21"/>
  <c r="U100" i="21"/>
  <c r="Q100" i="21"/>
  <c r="U99" i="21"/>
  <c r="Q99" i="21"/>
  <c r="U98" i="21"/>
  <c r="Q98" i="21"/>
  <c r="U97" i="21"/>
  <c r="Q97" i="21"/>
  <c r="U96" i="21"/>
  <c r="Q96" i="21"/>
  <c r="U95" i="21"/>
  <c r="Q95" i="21"/>
  <c r="M95" i="21"/>
  <c r="U94" i="21"/>
  <c r="Q94" i="21"/>
  <c r="M94" i="21"/>
  <c r="U93" i="21"/>
  <c r="Q93" i="21"/>
  <c r="U92" i="21"/>
  <c r="Q92" i="21"/>
  <c r="U91" i="21"/>
  <c r="Q91" i="21"/>
  <c r="U90" i="21"/>
  <c r="Q90" i="21"/>
  <c r="U89" i="21"/>
  <c r="Q89" i="21"/>
  <c r="M89" i="21"/>
  <c r="Q88" i="21"/>
  <c r="Q87" i="21"/>
  <c r="Q86" i="21"/>
  <c r="Q85" i="21"/>
  <c r="U84" i="21"/>
  <c r="Q84" i="21"/>
  <c r="M84" i="21"/>
  <c r="U83" i="21"/>
  <c r="Q83" i="21"/>
  <c r="U82" i="21"/>
  <c r="Q82" i="21"/>
  <c r="U81" i="21"/>
  <c r="Q81" i="21"/>
  <c r="U80" i="21"/>
  <c r="Q80" i="21"/>
  <c r="U79" i="21"/>
  <c r="Q79" i="21"/>
  <c r="U78" i="21"/>
  <c r="Q78" i="21"/>
  <c r="U77" i="21"/>
  <c r="Q77" i="21"/>
  <c r="U76" i="21"/>
  <c r="Q76" i="21"/>
  <c r="U75" i="21"/>
  <c r="Q75" i="21"/>
  <c r="U74" i="21"/>
  <c r="Q74" i="21"/>
  <c r="U73" i="21"/>
  <c r="Q73" i="21"/>
  <c r="U72" i="21"/>
  <c r="Q72" i="21"/>
  <c r="U71" i="21"/>
  <c r="Q71" i="21"/>
  <c r="U70" i="21"/>
  <c r="Q70" i="21"/>
  <c r="U69" i="21"/>
  <c r="Q69" i="21"/>
  <c r="U68" i="21"/>
  <c r="Q68" i="21"/>
  <c r="U67" i="21"/>
  <c r="Q67" i="21"/>
  <c r="U66" i="21"/>
  <c r="Q66" i="21"/>
  <c r="U65" i="21"/>
  <c r="Q65" i="21"/>
  <c r="C65" i="21"/>
  <c r="U64" i="21"/>
  <c r="Q64" i="21"/>
  <c r="U63" i="21"/>
  <c r="Q63" i="21"/>
  <c r="U62" i="21"/>
  <c r="Q62" i="21"/>
  <c r="U61" i="21"/>
  <c r="Q61" i="21"/>
  <c r="U60" i="21"/>
  <c r="Q60" i="21"/>
  <c r="U59" i="21"/>
  <c r="Q59" i="21"/>
  <c r="U58" i="21"/>
  <c r="Q58" i="21"/>
  <c r="U57" i="21"/>
  <c r="Q57" i="21"/>
  <c r="U56" i="21"/>
  <c r="Q56" i="21"/>
  <c r="Q55" i="21"/>
  <c r="M55" i="21"/>
  <c r="AF54" i="21"/>
  <c r="U54" i="21"/>
  <c r="Q54" i="21"/>
  <c r="U53" i="21"/>
  <c r="Q53" i="21"/>
  <c r="U52" i="21"/>
  <c r="Q52" i="21"/>
  <c r="U51" i="21"/>
  <c r="Q51" i="21"/>
  <c r="U50" i="21"/>
  <c r="Q50" i="21"/>
  <c r="C50" i="21"/>
  <c r="U49" i="21"/>
  <c r="Q49" i="21"/>
  <c r="M49" i="21"/>
  <c r="U48" i="21"/>
  <c r="Q48" i="21"/>
  <c r="U47" i="21"/>
  <c r="Q47" i="21"/>
  <c r="M47" i="21"/>
  <c r="U46" i="21"/>
  <c r="Q46" i="21"/>
  <c r="U45" i="21"/>
  <c r="Q45" i="21"/>
  <c r="U44" i="21"/>
  <c r="Q44" i="21"/>
  <c r="U43" i="21"/>
  <c r="Q43" i="21"/>
  <c r="U42" i="21"/>
  <c r="Q42" i="21"/>
  <c r="U41" i="21"/>
  <c r="Q41" i="21"/>
  <c r="M41" i="21"/>
  <c r="U40" i="21"/>
  <c r="Q40" i="21"/>
  <c r="U39" i="21"/>
  <c r="Q39" i="21"/>
  <c r="U38" i="21"/>
  <c r="Q38" i="21"/>
  <c r="U37" i="21"/>
  <c r="Q37" i="21"/>
  <c r="U36" i="21"/>
  <c r="Q36" i="21"/>
  <c r="U35" i="21"/>
  <c r="Q35" i="21"/>
  <c r="U34" i="21"/>
  <c r="Q34" i="21"/>
  <c r="U33" i="21"/>
  <c r="Q33" i="21"/>
  <c r="U32" i="21"/>
  <c r="Q32" i="21"/>
  <c r="U31" i="21"/>
  <c r="Q31" i="21"/>
  <c r="U30" i="21"/>
  <c r="Q30" i="21"/>
  <c r="U29" i="21"/>
  <c r="Q29" i="21"/>
  <c r="U28" i="21"/>
  <c r="Q28" i="21"/>
  <c r="U27" i="21"/>
  <c r="Q27" i="21"/>
  <c r="U26" i="21"/>
  <c r="Q26" i="21"/>
  <c r="U25" i="21"/>
  <c r="Q25" i="21"/>
  <c r="U24" i="21"/>
  <c r="Q24" i="21"/>
  <c r="U23" i="21"/>
  <c r="Q23" i="21"/>
  <c r="M23" i="21"/>
  <c r="U22" i="21"/>
  <c r="Q22" i="21"/>
  <c r="U21" i="21"/>
  <c r="Q21" i="21"/>
  <c r="U20" i="21"/>
  <c r="Q20" i="21"/>
  <c r="U19" i="21"/>
  <c r="Q19" i="21"/>
  <c r="Q18" i="21"/>
  <c r="Q17" i="21"/>
  <c r="U16" i="21"/>
  <c r="Q16" i="21"/>
  <c r="U15" i="21"/>
  <c r="Q15" i="21"/>
  <c r="U14" i="21"/>
  <c r="Q14" i="21"/>
  <c r="U13" i="21"/>
  <c r="Q13" i="21"/>
  <c r="U12" i="21"/>
  <c r="Q12" i="21"/>
  <c r="U11" i="21"/>
  <c r="Q11" i="21"/>
  <c r="U10" i="21"/>
  <c r="Q10" i="21"/>
  <c r="U9" i="21"/>
  <c r="Q9" i="21"/>
  <c r="M9" i="21"/>
  <c r="U8" i="21"/>
  <c r="Q8" i="21"/>
  <c r="U7" i="21"/>
  <c r="Q7" i="21"/>
  <c r="U6" i="21"/>
  <c r="Q6" i="21"/>
  <c r="U5" i="21"/>
  <c r="U141" i="21" s="1"/>
  <c r="Q5" i="21"/>
  <c r="M5" i="21"/>
  <c r="AD89" i="25" l="1"/>
  <c r="AD88" i="25"/>
  <c r="AD87" i="25"/>
  <c r="AD86" i="25"/>
  <c r="AD85" i="25"/>
  <c r="AD84" i="25"/>
  <c r="AN62" i="25"/>
  <c r="AM62" i="25"/>
  <c r="AL89" i="25" l="1"/>
  <c r="V89" i="25"/>
  <c r="AL86" i="25"/>
  <c r="V86" i="25"/>
  <c r="N86" i="25"/>
  <c r="N89" i="25"/>
  <c r="AK13" i="30" l="1"/>
  <c r="AK12" i="30"/>
  <c r="AK11" i="30"/>
  <c r="AL39" i="29"/>
  <c r="AL38" i="29"/>
  <c r="AL37" i="29"/>
  <c r="AL36" i="29"/>
  <c r="AL31" i="29"/>
  <c r="AL30" i="29"/>
  <c r="AL29" i="29"/>
  <c r="AL28" i="29"/>
  <c r="AL27" i="29"/>
  <c r="AL17" i="29"/>
  <c r="AL18" i="29"/>
  <c r="AL19" i="29"/>
  <c r="AL20" i="29"/>
  <c r="AL21" i="29"/>
  <c r="AL22" i="29"/>
  <c r="AL16" i="29"/>
  <c r="AL11" i="29"/>
  <c r="AS10" i="27"/>
  <c r="AS11" i="27"/>
  <c r="AS12" i="27"/>
  <c r="AS13" i="27"/>
  <c r="AS9" i="27"/>
  <c r="C40" i="17" l="1"/>
  <c r="AJ18" i="19" l="1"/>
  <c r="C32" i="17"/>
  <c r="D43" i="26" l="1"/>
  <c r="E14" i="26" l="1"/>
  <c r="E15" i="26"/>
  <c r="AL79" i="25"/>
  <c r="N79" i="25"/>
  <c r="C52" i="26" l="1"/>
  <c r="E49" i="26"/>
  <c r="E48" i="26"/>
  <c r="E47" i="26"/>
  <c r="E46" i="26"/>
  <c r="E45" i="26"/>
  <c r="E44" i="26"/>
  <c r="C40" i="26"/>
  <c r="AL88" i="25"/>
  <c r="AL87" i="25"/>
  <c r="AL85" i="25"/>
  <c r="AL84" i="25"/>
  <c r="V88" i="25"/>
  <c r="V87" i="25"/>
  <c r="V85" i="25"/>
  <c r="V84" i="25"/>
  <c r="N88" i="25"/>
  <c r="N87" i="25"/>
  <c r="N85" i="25"/>
  <c r="N84" i="25"/>
  <c r="AM105" i="25" l="1"/>
  <c r="AM104" i="25"/>
  <c r="AM89" i="25"/>
  <c r="AM88" i="25"/>
  <c r="AM87" i="25"/>
  <c r="AM86" i="25"/>
  <c r="AM85" i="25"/>
  <c r="AM84" i="25"/>
  <c r="AM99" i="25"/>
  <c r="AM67" i="25"/>
  <c r="AM61" i="25"/>
  <c r="AM60" i="25"/>
  <c r="AM59" i="25"/>
  <c r="AM58" i="25"/>
  <c r="AM79" i="25"/>
  <c r="C39" i="17" l="1"/>
  <c r="C37" i="17"/>
  <c r="C36" i="17"/>
  <c r="C35" i="17"/>
  <c r="L32" i="17"/>
  <c r="J32" i="17"/>
  <c r="H32" i="17"/>
  <c r="E32" i="17"/>
  <c r="D32" i="17"/>
  <c r="C42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tc={97D17856-B694-4533-B397-9DD49D403B1E}</author>
    <author>OPS GYE</author>
    <author>tc={DD57E1BC-311D-4A5F-BDA4-65AB0F263BCD}</author>
    <author>tc={409662E2-46F3-4D7A-A069-FABEF2613E97}</author>
    <author>tc={CA71AA3D-8A66-4444-B2F7-E13F5CC388CC}</author>
    <author>tc={DDA983B1-17D6-4FF3-90E4-9CEFD064ED37}</author>
    <author>tc={C51B1896-EF97-440E-99AC-63066D42F7AB}</author>
    <author>Jefe de Operaciones</author>
  </authors>
  <commentList>
    <comment ref="B6" authorId="0" shapeId="0" xr:uid="{49AEFEBF-AEE3-490A-8347-51173968766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INCREMENTA 1PUESTO DE 8H L-V  DESDE 21 JUNIO</t>
      </text>
    </comment>
    <comment ref="B8" authorId="1" shapeId="0" xr:uid="{A1935D26-876C-4594-9707-499F5BA4B346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INCREMENTO 2P DE 24 HORAS EL 16 DE JUNIO 2025</t>
        </r>
      </text>
    </comment>
    <comment ref="D12" authorId="2" shapeId="0" xr:uid="{2EF1EE56-6B25-418A-9D85-DD1DD1A8951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L-V 13H / S-D 12H </t>
      </text>
    </comment>
    <comment ref="B13" authorId="1" shapeId="0" xr:uid="{AE75B279-5522-4688-868D-56AE312D0029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DESDE EL 01 MARZO CAMBIO A 12H L-D</t>
        </r>
      </text>
    </comment>
    <comment ref="B14" authorId="1" shapeId="0" xr:uid="{83470EE5-B8FF-41E7-8FF7-142F8AD70649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INCREMENTO 1 PUESTO DE 10H DE L-V DESDE EL 07 DE MAYO 2026 DE Y LUEGO EL 10 CAMBIA DE 10H DE L-S (6D)</t>
        </r>
      </text>
    </comment>
    <comment ref="B15" authorId="3" shapeId="0" xr:uid="{3BE5F1D2-1483-4FE4-B446-53D8D3988F8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Se elimina el puesto de 24 horas que estaba en el HLV desde el 13 mayo 2024 hasta las 19h00</t>
      </text>
    </comment>
    <comment ref="F15" authorId="4" shapeId="0" xr:uid="{3B867453-901B-49A0-AA75-F2443CCF067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UN PUESTO DEL  HRG DE 12H L-D A 1 PUESTO DE 12H L-V AL HAP DESDE EL 01 MAYO</t>
      </text>
    </comment>
    <comment ref="H17" authorId="5" shapeId="0" xr:uid="{6005255C-04AE-4A7D-BAFD-A8CAEE3D944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PASA UN PUESTO DEL  HRG DE 12H L-D A 1 PUESTO DE 12H L-S</t>
      </text>
    </comment>
    <comment ref="F18" authorId="6" shapeId="0" xr:uid="{45A366FA-1DBD-43A6-9D83-F5D94F0112A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p 12H l - D 
1p 12H  l   S 
Estos pasan a 12h l-v desde el 21 </t>
      </text>
    </comment>
    <comment ref="G21" authorId="1" shapeId="0" xr:uid="{F7BB7D2C-C0F3-4913-82E2-F1A2BE4FCF5F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INCREMENTO EL 01 AGO 2025</t>
        </r>
      </text>
    </comment>
    <comment ref="E24" authorId="7" shapeId="0" xr:uid="{0A755B6C-DF22-464D-8B3D-5FD28629DFB6}">
      <text>
        <r>
          <rPr>
            <b/>
            <sz val="9"/>
            <color indexed="81"/>
            <rFont val="Tahoma"/>
            <family val="2"/>
          </rPr>
          <t>Jefe de Operaciones:</t>
        </r>
        <r>
          <rPr>
            <sz val="9"/>
            <color indexed="81"/>
            <rFont val="Tahoma"/>
            <family val="2"/>
          </rPr>
          <t xml:space="preserve">
DESDE EL 16 INCREMENTO UN PUESTO NOCTURNO</t>
        </r>
      </text>
    </comment>
    <comment ref="B25" authorId="1" shapeId="0" xr:uid="{F41F4DF0-C96D-462B-AAA0-25BF1FDF409A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10 DE ENERO 2025 - ADICIONAL TEMPORAL</t>
        </r>
      </text>
    </comment>
    <comment ref="B26" authorId="1" shapeId="0" xr:uid="{57FE2767-EF7E-4D28-90C7-755CAFB38992}">
      <text>
        <r>
          <rPr>
            <sz val="9"/>
            <color indexed="81"/>
            <rFont val="Tahoma"/>
            <family val="2"/>
          </rPr>
          <t xml:space="preserve">DESE EL 02 DE MARZO 2026 PASA DE 24H A 12H L - V Y 5,5 H LOS SABADOS </t>
        </r>
      </text>
    </comment>
    <comment ref="B27" authorId="1" shapeId="0" xr:uid="{AE5FFB4B-0B85-4545-B1C5-2FD0E163E19C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31 MARZO 2026</t>
        </r>
      </text>
    </comment>
    <comment ref="B28" authorId="1" shapeId="0" xr:uid="{1B972BCE-6DA9-44DA-904D-02C6A0D6D470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01 DE ABRIL</t>
        </r>
      </text>
    </comment>
    <comment ref="B31" authorId="1" shapeId="0" xr:uid="{DFE87824-AC91-484E-94D0-72AB438D4F89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INICIO DESDE EL 08 DE MAYO 2026</t>
        </r>
      </text>
    </comment>
    <comment ref="B37" authorId="1" shapeId="0" xr:uid="{58948FE6-CDC0-4689-B4FE-A473C5007A59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SE ELIMA ALBERGUE ASVOLH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Rubi Quezada</author>
    <author>OPS GYE</author>
  </authors>
  <commentList>
    <comment ref="L4" authorId="0" shapeId="0" xr:uid="{681B1448-E74F-4295-B037-0642C8AF0C98}">
      <text>
        <r>
          <rPr>
            <b/>
            <sz val="9"/>
            <color indexed="81"/>
            <rFont val="Tahoma"/>
            <family val="2"/>
          </rPr>
          <t>Rubi Quezada:</t>
        </r>
        <r>
          <rPr>
            <sz val="9"/>
            <color indexed="81"/>
            <rFont val="Tahoma"/>
            <family val="2"/>
          </rPr>
          <t xml:space="preserve">
FULL TIME
PART TIME</t>
        </r>
      </text>
    </comment>
    <comment ref="D9" authorId="1" shapeId="0" xr:uid="{04F18475-6D08-4153-8D6B-3B4DDD5BA985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se incrementa un puesto de 24h en emergencia 19 de marzo 2026</t>
        </r>
      </text>
    </comment>
    <comment ref="G9" authorId="1" shapeId="0" xr:uid="{78C28E17-FF59-464F-87A4-CB9CAD926F6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1 ESTA EN PERIODO DE LACTANCIA</t>
        </r>
      </text>
    </comment>
    <comment ref="D27" authorId="1" shapeId="0" xr:uid="{C5B00636-AB90-49D4-A1D2-F377C6A52A61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DESDE EL 07 DE MAYO 2026</t>
        </r>
      </text>
    </comment>
    <comment ref="D45" authorId="1" shapeId="0" xr:uid="{490C8677-360D-4373-8372-4EAE10EBD709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DESDE EL 02 DE MARZO 2026 PASA A 12H L-V Y SABADO 5,5H</t>
        </r>
      </text>
    </comment>
    <comment ref="D46" authorId="1" shapeId="0" xr:uid="{461DE102-A833-421D-B6CC-61A3A57B8D4B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APERTURAN 13 MARZO 2026 </t>
        </r>
      </text>
    </comment>
    <comment ref="D47" authorId="1" shapeId="0" xr:uid="{DFE84CF7-E6B2-4B9F-A43F-9754E1B65F1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APERTURAN 13 MARZO 2026 </t>
        </r>
      </text>
    </comment>
    <comment ref="D48" authorId="1" shapeId="0" xr:uid="{BECBC993-1E88-4BDE-864D-AA5D94F6F3E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31 MARZO ABRIL 2026</t>
        </r>
      </text>
    </comment>
    <comment ref="D49" authorId="1" shapeId="0" xr:uid="{9C2CCCE5-DAD1-4BA2-9D59-114C5327C593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08 DE MAYO 2026</t>
        </r>
      </text>
    </comment>
    <comment ref="M85" authorId="1" shapeId="0" xr:uid="{8D5BA9A0-97D3-4D41-AFA8-03BDCCF898B5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POR CAMBIO DE CARGA HORARIA</t>
        </r>
      </text>
    </comment>
    <comment ref="L145" authorId="0" shapeId="0" xr:uid="{5155DC6B-890C-4986-94D5-2A36B8180DEC}">
      <text>
        <r>
          <rPr>
            <b/>
            <sz val="9"/>
            <color indexed="81"/>
            <rFont val="Tahoma"/>
            <family val="2"/>
          </rPr>
          <t>Rubi Quezada:</t>
        </r>
        <r>
          <rPr>
            <sz val="9"/>
            <color indexed="81"/>
            <rFont val="Tahoma"/>
            <family val="2"/>
          </rPr>
          <t xml:space="preserve">
FULL TIME
PART TIME</t>
        </r>
      </text>
    </comment>
    <comment ref="D150" authorId="1" shapeId="0" xr:uid="{9D6B675A-9E8E-4FB5-94CB-EB4D60E0A20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se incrementa un puesto de 24h en emergencia 19 de marzo 2026</t>
        </r>
      </text>
    </comment>
    <comment ref="G150" authorId="1" shapeId="0" xr:uid="{05706B6F-1580-428D-919C-EC7678C55184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1 ESTA EN PERIODO DE LACTANCIA</t>
        </r>
      </text>
    </comment>
    <comment ref="D168" authorId="1" shapeId="0" xr:uid="{398D547D-AFE5-43A5-A307-9B00A1B3280C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DESDE EL 07 DE MAYO 2026</t>
        </r>
      </text>
    </comment>
    <comment ref="C176" authorId="1" shapeId="0" xr:uid="{2F3AE3AF-74E3-42E8-ABB8-51715909E178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INCREMENTO DESDE EL 09 DE JULIO 2026</t>
        </r>
      </text>
    </comment>
    <comment ref="D186" authorId="1" shapeId="0" xr:uid="{0D7BCD51-63A1-4808-9AB8-D2F6B96F9034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DESDE EL 02 DE MARZO 2026 PASA A 12H L-V Y SABADO 5,5H</t>
        </r>
      </text>
    </comment>
    <comment ref="D187" authorId="1" shapeId="0" xr:uid="{7573D8CE-6E1D-4D68-AAEB-E6EA14F341EA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APERTURAN 13 MARZO 2026 </t>
        </r>
      </text>
    </comment>
    <comment ref="D188" authorId="1" shapeId="0" xr:uid="{3DA0C6BF-E5E7-459C-9252-0FC78BD28642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APERTURAN 13 MARZO 2026 </t>
        </r>
      </text>
    </comment>
    <comment ref="D189" authorId="1" shapeId="0" xr:uid="{25A8600E-4890-4963-A485-67C2DB699F9D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31 MARZO ABRIL 2026</t>
        </r>
      </text>
    </comment>
    <comment ref="D190" authorId="1" shapeId="0" xr:uid="{F4E0C02E-AF6A-4D62-AF36-E999DFCAA0AB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08 DE MAYO 2026</t>
        </r>
      </text>
    </comment>
    <comment ref="G226" authorId="1" shapeId="0" xr:uid="{CF662345-2307-4BF6-9941-28478575E982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incrementa 01 puesto de L-D </t>
        </r>
      </text>
    </comment>
    <comment ref="M228" authorId="1" shapeId="0" xr:uid="{EA9A2C31-7DA5-49AC-A359-FE40BF418945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POR CAMBIO DE CARGA HORARIA</t>
        </r>
      </text>
    </comment>
    <comment ref="M251" authorId="1" shapeId="0" xr:uid="{6C4CA0AF-9F16-4175-B3EB-8F57B231061D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ESTE CAMBIA PORQUE LOS DIAS SABADO HACE 10H </t>
        </r>
      </text>
    </comment>
    <comment ref="M262" authorId="1" shapeId="0" xr:uid="{4F3A49F1-D1F0-4F07-9355-5668F0AEE9E9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PASA DE 48H A 58H  </t>
        </r>
      </text>
    </comment>
    <comment ref="G294" authorId="1" shapeId="0" xr:uid="{BEBD2D61-8236-4829-A8C6-253C72220A4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1 ESTA EN PERIODO DE LACTANCIA</t>
        </r>
      </text>
    </comment>
    <comment ref="G370" authorId="1" shapeId="0" xr:uid="{CB6D8434-30D7-4D8B-97EB-672023A259CA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incrementa 01 puesto de L-D </t>
        </r>
      </text>
    </comment>
    <comment ref="M398" authorId="1" shapeId="0" xr:uid="{71BE1927-793F-4996-B4AD-A2E8706BE96B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PASA DE 48H A 58H  </t>
        </r>
      </text>
    </comment>
    <comment ref="G430" authorId="1" shapeId="0" xr:uid="{9C6A2308-5320-4CB1-AFD1-88DD1A01056C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SE TERMINA PERIODO DE LACTANCIA </t>
        </r>
      </text>
    </comment>
    <comment ref="G508" authorId="1" shapeId="0" xr:uid="{ED5D5175-2221-4522-929A-1836C970E423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incrementa 01 puesto de L-D </t>
        </r>
      </text>
    </comment>
    <comment ref="M536" authorId="1" shapeId="0" xr:uid="{C65F8848-0442-442A-8DA8-3EC92AF66E11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PASA DE 48H A 58H 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OPS GYE</author>
    <author>CENTRO DE CONTROL</author>
    <author>HRG</author>
    <author>Analista Operaciones</author>
  </authors>
  <commentList>
    <comment ref="L14" authorId="0" shapeId="0" xr:uid="{7CBBD7A8-FEA1-4744-8681-D4E8A603AF08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MARISCO FRESH (CASA TOTAL SEC) NOCHE 19;00 07;00</t>
        </r>
      </text>
    </comment>
    <comment ref="T14" authorId="0" shapeId="0" xr:uid="{015479A1-2970-425B-9A42-533D8207DE5B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MARISCO FRESH (CASA TOTAL SEC) NOCHE 19;00 07;00</t>
        </r>
      </text>
    </comment>
    <comment ref="AB14" authorId="0" shapeId="0" xr:uid="{E6EF261E-FD34-48A5-BFD2-16D8DA370BE8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MARISCO FRESH (CASA TOTAL SEC) NOCHE 19;00 07;00</t>
        </r>
      </text>
    </comment>
    <comment ref="AJ14" authorId="0" shapeId="0" xr:uid="{055D6193-16FE-40DE-9C86-18E13993C9B1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MARISCO FRESH (CASA TOTAL SEC) NOCHE 19;00 07;00</t>
        </r>
      </text>
    </comment>
    <comment ref="F18" authorId="1" shapeId="0" xr:uid="{F53059B9-6306-4679-9A19-FDA52B8E8C09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SE CUBRE VACANTE DE MIGUEL ANGEL VALDEZ POSLIGUA</t>
        </r>
      </text>
    </comment>
    <comment ref="AJ21" authorId="2" shapeId="0" xr:uid="{7875DB8B-5071-4807-9C2D-4F51C70220AF}">
      <text>
        <r>
          <rPr>
            <b/>
            <sz val="9"/>
            <color indexed="81"/>
            <rFont val="Tahoma"/>
            <family val="2"/>
          </rPr>
          <t>HRG:</t>
        </r>
        <r>
          <rPr>
            <sz val="9"/>
            <color indexed="81"/>
            <rFont val="Tahoma"/>
            <family val="2"/>
          </rPr>
          <t xml:space="preserve">
OFICINA TSC</t>
        </r>
      </text>
    </comment>
    <comment ref="L22" authorId="2" shapeId="0" xr:uid="{FE7B16F4-1CAF-485B-B411-756013DAE244}">
      <text>
        <r>
          <rPr>
            <b/>
            <sz val="9"/>
            <color indexed="81"/>
            <rFont val="Tahoma"/>
            <family val="2"/>
          </rPr>
          <t>HRG:</t>
        </r>
        <r>
          <rPr>
            <sz val="9"/>
            <color indexed="81"/>
            <rFont val="Tahoma"/>
            <family val="2"/>
          </rPr>
          <t xml:space="preserve">
OFICINA TSC</t>
        </r>
      </text>
    </comment>
    <comment ref="T22" authorId="2" shapeId="0" xr:uid="{69A7DE05-AA3F-4579-A6BB-16F0B4091521}">
      <text>
        <r>
          <rPr>
            <b/>
            <sz val="9"/>
            <color indexed="81"/>
            <rFont val="Tahoma"/>
            <family val="2"/>
          </rPr>
          <t>HRG:</t>
        </r>
        <r>
          <rPr>
            <sz val="9"/>
            <color indexed="81"/>
            <rFont val="Tahoma"/>
            <family val="2"/>
          </rPr>
          <t xml:space="preserve">
OFICINA TSC</t>
        </r>
      </text>
    </comment>
    <comment ref="AB22" authorId="2" shapeId="0" xr:uid="{455025FD-FAE5-402F-B8F8-1E8C17829906}">
      <text>
        <r>
          <rPr>
            <b/>
            <sz val="9"/>
            <color indexed="81"/>
            <rFont val="Tahoma"/>
            <family val="2"/>
          </rPr>
          <t>HRG:</t>
        </r>
        <r>
          <rPr>
            <sz val="9"/>
            <color indexed="81"/>
            <rFont val="Tahoma"/>
            <family val="2"/>
          </rPr>
          <t xml:space="preserve">
OFICINA TSC</t>
        </r>
      </text>
    </comment>
    <comment ref="F31" authorId="1" shapeId="0" xr:uid="{30BDA4E6-6529-4058-AD04-F3F4B81A62DF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VACACIONES DE ALVARO GUADAMUB DESDE EL 18 HASTA EL 23 DE AGOSTO</t>
        </r>
      </text>
    </comment>
    <comment ref="F33" authorId="1" shapeId="0" xr:uid="{B5BEA430-C1C5-4BC9-AEBD-B00E04D079BF}">
      <text>
        <r>
          <rPr>
            <b/>
            <sz val="9"/>
            <color indexed="81"/>
            <rFont val="Tahoma"/>
            <family val="2"/>
          </rPr>
          <t xml:space="preserve">CUBRE VACACIONES DEL SR MARCOS LIPARI DESDE EL 24-8-2026
</t>
        </r>
      </text>
    </comment>
    <comment ref="F40" authorId="1" shapeId="0" xr:uid="{7BFB5647-6B70-4F53-885D-0929F31C56CC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VACANTE DE SALAZAR </t>
        </r>
      </text>
    </comment>
    <comment ref="M56" authorId="0" shapeId="0" xr:uid="{F8566A1B-AF5D-46A1-9C5A-849BF04C9952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EL HRG</t>
        </r>
      </text>
    </comment>
    <comment ref="L60" authorId="0" shapeId="0" xr:uid="{683D73BF-67B8-4127-A7D6-6AA9F04D61D1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EL HRG</t>
        </r>
      </text>
    </comment>
    <comment ref="F61" authorId="1" shapeId="0" xr:uid="{18360FD8-0E96-4E87-BA1E-45A89B0432CC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TOMA VACACIONES VICTOR HUGO SANTOS TORRES DESDE EL 2</t>
        </r>
      </text>
    </comment>
    <comment ref="I61" authorId="0" shapeId="0" xr:uid="{85134EA5-920F-49AC-BF5D-A92633A49C8F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HLV</t>
        </r>
      </text>
    </comment>
    <comment ref="R61" authorId="0" shapeId="0" xr:uid="{0A384485-7F87-465D-8B3D-87ACFA2A7273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HLV</t>
        </r>
      </text>
    </comment>
    <comment ref="W61" authorId="0" shapeId="0" xr:uid="{AFBA7098-4F7A-4830-8F67-D98901C4E5B6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HLV</t>
        </r>
      </text>
    </comment>
    <comment ref="AB61" authorId="0" shapeId="0" xr:uid="{BBC25AC4-24FB-47EE-920C-F06DF3E984B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EL HRG</t>
        </r>
      </text>
    </comment>
    <comment ref="AC61" authorId="0" shapeId="0" xr:uid="{FF773190-8177-45BC-8C6A-B5DC068116CE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EL HRG</t>
        </r>
      </text>
    </comment>
    <comment ref="AH61" authorId="0" shapeId="0" xr:uid="{087EA7B5-F86E-455B-9AB7-628CB9F5BD8E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HLV</t>
        </r>
      </text>
    </comment>
    <comment ref="AK61" authorId="0" shapeId="0" xr:uid="{B5130069-E79B-4F8F-94EB-C121C9F9F7C5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EL HRG</t>
        </r>
      </text>
    </comment>
    <comment ref="U63" authorId="0" shapeId="0" xr:uid="{4E9A71D8-8ADC-4592-9504-1F838BC95475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EL HRG</t>
        </r>
      </text>
    </comment>
    <comment ref="L64" authorId="3" shapeId="0" xr:uid="{D3905E27-194C-42B9-BD26-D77550A01EC8}">
      <text>
        <r>
          <rPr>
            <b/>
            <sz val="9"/>
            <color indexed="81"/>
            <rFont val="Tahoma"/>
            <family val="2"/>
          </rPr>
          <t>Analista Opera
6H</t>
        </r>
      </text>
    </comment>
    <comment ref="T64" authorId="3" shapeId="0" xr:uid="{1C419AEB-83CA-4958-B006-65C292371BB2}">
      <text>
        <r>
          <rPr>
            <b/>
            <sz val="9"/>
            <color indexed="81"/>
            <rFont val="Tahoma"/>
            <family val="2"/>
          </rPr>
          <t>Analista Opera
6H</t>
        </r>
      </text>
    </comment>
    <comment ref="AB64" authorId="3" shapeId="0" xr:uid="{7CD1CC4C-7DE0-44C5-9ABE-FCCF9D0E5B16}">
      <text>
        <r>
          <rPr>
            <b/>
            <sz val="9"/>
            <color indexed="81"/>
            <rFont val="Tahoma"/>
            <family val="2"/>
          </rPr>
          <t>Analista Opera
6H</t>
        </r>
      </text>
    </comment>
    <comment ref="AJ64" authorId="3" shapeId="0" xr:uid="{838CCF88-710D-4C38-AA9E-B4D5F95E502D}">
      <text>
        <r>
          <rPr>
            <b/>
            <sz val="9"/>
            <color indexed="81"/>
            <rFont val="Tahoma"/>
            <family val="2"/>
          </rPr>
          <t>Analista Opera
6H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CENTRO DE CONTROL</author>
    <author>segfishlv</author>
    <author>OPS GYE</author>
  </authors>
  <commentList>
    <comment ref="F26" authorId="0" shapeId="0" xr:uid="{D05FE8A1-7C65-47FD-A31E-5AC596DF981A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PERMISO MEDICO DE 15 DIAS SR. MICHAEL FERNANDO LEON TORRES</t>
        </r>
      </text>
    </comment>
    <comment ref="L27" authorId="1" shapeId="0" xr:uid="{36A01155-8BEC-4FAC-8E71-C5067C457878}">
      <text>
        <r>
          <rPr>
            <b/>
            <sz val="9"/>
            <color indexed="81"/>
            <rFont val="Tahoma"/>
            <family val="2"/>
          </rPr>
          <t>CIUDAD DEPORTIVA 12 H</t>
        </r>
      </text>
    </comment>
    <comment ref="M27" authorId="1" shapeId="0" xr:uid="{0CC3DA35-39DD-4467-89A0-E2988177EE74}">
      <text>
        <r>
          <rPr>
            <b/>
            <sz val="9"/>
            <color indexed="81"/>
            <rFont val="Tahoma"/>
            <family val="2"/>
          </rPr>
          <t>CIUDAD DEPORTIVA 12 H</t>
        </r>
      </text>
    </comment>
    <comment ref="T27" authorId="1" shapeId="0" xr:uid="{911DDE5B-1669-4548-BFAE-07FAC2EB27C5}">
      <text>
        <r>
          <rPr>
            <b/>
            <sz val="9"/>
            <color indexed="81"/>
            <rFont val="Tahoma"/>
            <family val="2"/>
          </rPr>
          <t>CIUDAD DEPORTIVA 12 H</t>
        </r>
      </text>
    </comment>
    <comment ref="U27" authorId="1" shapeId="0" xr:uid="{4E042E38-1DC3-4BB9-B4C0-BFA30305FDDF}">
      <text>
        <r>
          <rPr>
            <b/>
            <sz val="9"/>
            <color indexed="81"/>
            <rFont val="Tahoma"/>
            <family val="2"/>
          </rPr>
          <t>CIUDAD DEPORTIVA 12 H</t>
        </r>
      </text>
    </comment>
    <comment ref="AB27" authorId="1" shapeId="0" xr:uid="{F0503CB3-FAF8-4DA5-B388-934BB74877A1}">
      <text>
        <r>
          <rPr>
            <b/>
            <sz val="9"/>
            <color indexed="81"/>
            <rFont val="Tahoma"/>
            <family val="2"/>
          </rPr>
          <t>CIUDAD DEPORTIVA 12 H</t>
        </r>
      </text>
    </comment>
    <comment ref="AC27" authorId="1" shapeId="0" xr:uid="{C9706417-DBB7-4079-9B9C-7962C6EC77FE}">
      <text>
        <r>
          <rPr>
            <b/>
            <sz val="9"/>
            <color indexed="81"/>
            <rFont val="Tahoma"/>
            <family val="2"/>
          </rPr>
          <t>CIUDAD DEPORTIVA 12 H</t>
        </r>
      </text>
    </comment>
    <comment ref="AJ27" authorId="1" shapeId="0" xr:uid="{5BD688F8-BF49-42BF-8C1E-312504F1F727}">
      <text>
        <r>
          <rPr>
            <b/>
            <sz val="9"/>
            <color indexed="81"/>
            <rFont val="Tahoma"/>
            <family val="2"/>
          </rPr>
          <t>CIUDAD DEPORTIVA 12 H</t>
        </r>
      </text>
    </comment>
    <comment ref="AK27" authorId="1" shapeId="0" xr:uid="{928BAEB7-C979-42D2-8B90-F468F7D914FA}">
      <text>
        <r>
          <rPr>
            <b/>
            <sz val="9"/>
            <color indexed="81"/>
            <rFont val="Tahoma"/>
            <family val="2"/>
          </rPr>
          <t>CIUDAD DEPORTIVA 12 H</t>
        </r>
      </text>
    </comment>
    <comment ref="H44" authorId="2" shapeId="0" xr:uid="{E7D9A151-83BE-4413-AE3E-F985A848D716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HLV</t>
        </r>
      </text>
    </comment>
    <comment ref="K46" authorId="2" shapeId="0" xr:uid="{3647A8CC-91A7-4FA5-8F3D-69DAF60C7EAA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JOSE SAENZ </t>
        </r>
      </text>
    </comment>
    <comment ref="S46" authorId="2" shapeId="0" xr:uid="{6F29187E-F960-4F07-9499-0CFFA3946E44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JOSE SAENZ </t>
        </r>
      </text>
    </comment>
    <comment ref="AA46" authorId="2" shapeId="0" xr:uid="{9A8E8581-82D2-4314-BA1D-4AFBC4F50A4B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JOSE SAENZ </t>
        </r>
      </text>
    </comment>
    <comment ref="AI46" authorId="2" shapeId="0" xr:uid="{5F852D9B-8B8E-4708-A9EA-43C64CFEB614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JOSE SAENZ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CENTRO DE CONTROL</author>
    <author>Supervisor Cementerio</author>
    <author>jsalazar</author>
    <author>Analista Operaciones</author>
    <author>OPS GYE</author>
  </authors>
  <commentList>
    <comment ref="F18" authorId="0" shapeId="0" xr:uid="{409361C1-047C-4C64-9A4B-DBDA0EFE8823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PERMISO PATERNIDAD</t>
        </r>
      </text>
    </comment>
    <comment ref="L35" authorId="0" shapeId="0" xr:uid="{89F1E094-54B8-431C-B243-FA93770E7B94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EL AGENTE DE EMAUS</t>
        </r>
      </text>
    </comment>
    <comment ref="I47" authorId="1" shapeId="0" xr:uid="{FA00F1E5-9F0A-4EE2-8BAB-A2E6744EABBE}">
      <text>
        <r>
          <rPr>
            <sz val="11"/>
            <color theme="1"/>
            <rFont val="Calibri"/>
            <family val="2"/>
            <scheme val="minor"/>
          </rPr>
          <t>OPS GYE:
CEMENTERIO</t>
        </r>
      </text>
    </comment>
    <comment ref="K47" authorId="1" shapeId="0" xr:uid="{56A9A80D-2611-4597-A726-2B6087AE70B6}">
      <text>
        <r>
          <rPr>
            <sz val="11"/>
            <color theme="1"/>
            <rFont val="Calibri"/>
            <family val="2"/>
            <scheme val="minor"/>
          </rPr>
          <t>OPS GYE:
CEMENTERIO</t>
        </r>
      </text>
    </comment>
    <comment ref="P47" authorId="1" shapeId="0" xr:uid="{F5AC4181-78AC-486B-9144-2B1DEECE900A}">
      <text>
        <r>
          <rPr>
            <sz val="11"/>
            <color theme="1"/>
            <rFont val="Calibri"/>
            <family val="2"/>
            <scheme val="minor"/>
          </rPr>
          <t>OPS GYE:
CEMENTERIO</t>
        </r>
      </text>
    </comment>
    <comment ref="Q47" authorId="1" shapeId="0" xr:uid="{355F590D-41A5-4824-80F4-21AB4961A35D}">
      <text>
        <r>
          <rPr>
            <sz val="11"/>
            <color theme="1"/>
            <rFont val="Calibri"/>
            <family val="2"/>
            <scheme val="minor"/>
          </rPr>
          <t>OPS GYE:
CEMENTERIO</t>
        </r>
      </text>
    </comment>
    <comment ref="T47" authorId="1" shapeId="0" xr:uid="{224F9C6F-30E2-48A3-9A77-A3D4E2C9A7F3}">
      <text>
        <r>
          <rPr>
            <sz val="11"/>
            <color theme="1"/>
            <rFont val="Calibri"/>
            <family val="2"/>
            <scheme val="minor"/>
          </rPr>
          <t>OPS GYE:
CEMENTERIO</t>
        </r>
      </text>
    </comment>
    <comment ref="Y47" authorId="1" shapeId="0" xr:uid="{893CB414-FA49-4090-83D2-855188327D9A}">
      <text>
        <r>
          <rPr>
            <sz val="11"/>
            <color theme="1"/>
            <rFont val="Calibri"/>
            <family val="2"/>
            <scheme val="minor"/>
          </rPr>
          <t>OPS GYE:
CEMENTERIO</t>
        </r>
      </text>
    </comment>
    <comment ref="AA47" authorId="1" shapeId="0" xr:uid="{A1085FC4-DD52-4A28-A667-4258B5A2407F}">
      <text>
        <r>
          <rPr>
            <sz val="11"/>
            <color theme="1"/>
            <rFont val="Calibri"/>
            <family val="2"/>
            <scheme val="minor"/>
          </rPr>
          <t>OPS GYE:
CEMENTERIO</t>
        </r>
      </text>
    </comment>
    <comment ref="AG47" authorId="1" shapeId="0" xr:uid="{52F0A148-1883-407C-B186-F236567578A7}">
      <text>
        <r>
          <rPr>
            <sz val="11"/>
            <color theme="1"/>
            <rFont val="Calibri"/>
            <family val="2"/>
            <scheme val="minor"/>
          </rPr>
          <t>OPS GYE:
CEMENTERIO</t>
        </r>
      </text>
    </comment>
    <comment ref="AJ47" authorId="1" shapeId="0" xr:uid="{591B52A4-C5F3-4EC6-A248-999739568649}">
      <text>
        <r>
          <rPr>
            <sz val="11"/>
            <color theme="1"/>
            <rFont val="Calibri"/>
            <family val="2"/>
            <scheme val="minor"/>
          </rPr>
          <t>OPS GYE:
CEMENTERIO</t>
        </r>
      </text>
    </comment>
    <comment ref="M50" authorId="0" shapeId="0" xr:uid="{7BDD4CF2-84E2-492D-B0AD-13DC9B3A74DE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CEMENTERIO 8 HORAS </t>
        </r>
      </text>
    </comment>
    <comment ref="U50" authorId="0" shapeId="0" xr:uid="{8A086E04-7BB3-4C53-969E-76CE8C432563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CEMENTERIO 8 HORAS </t>
        </r>
      </text>
    </comment>
    <comment ref="AC50" authorId="0" shapeId="0" xr:uid="{FA290287-C30A-4C02-9A8F-120A7E011051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CEMENTERIO 8 HORAS </t>
        </r>
      </text>
    </comment>
    <comment ref="AK50" authorId="0" shapeId="0" xr:uid="{297B98BD-D482-4ECE-B57D-8DD30BAF50C4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CEMENTERIO 8 HORAS </t>
        </r>
      </text>
    </comment>
    <comment ref="G62" authorId="2" shapeId="0" xr:uid="{79BFBAA5-CA4E-4759-AD25-6E45D624708F}">
      <text>
        <r>
          <rPr>
            <b/>
            <sz val="9"/>
            <color indexed="81"/>
            <rFont val="Tahoma"/>
            <family val="2"/>
          </rPr>
          <t xml:space="preserve">CENTRO RECREACIONAL SUR </t>
        </r>
      </text>
    </comment>
    <comment ref="H62" authorId="2" shapeId="0" xr:uid="{5CB8EF2A-943E-475D-AE55-4D62FC739D33}">
      <text>
        <r>
          <rPr>
            <b/>
            <sz val="9"/>
            <color indexed="81"/>
            <rFont val="Tahoma"/>
            <family val="2"/>
          </rPr>
          <t xml:space="preserve">CENTRO RECREACIONAL SUR </t>
        </r>
      </text>
    </comment>
    <comment ref="L62" authorId="3" shapeId="0" xr:uid="{B59A331C-35B8-4BC3-9217-85EAC680931A}">
      <text>
        <r>
          <rPr>
            <b/>
            <sz val="9"/>
            <color indexed="81"/>
            <rFont val="Tahoma"/>
            <family val="2"/>
          </rPr>
          <t xml:space="preserve">Analista Operación CUBRE EN HORGAR CALDERRON AYLUARDO
</t>
        </r>
      </text>
    </comment>
    <comment ref="M62" authorId="3" shapeId="0" xr:uid="{9A98EB78-5376-460D-87D6-A25D1DDF0F82}">
      <text>
        <r>
          <rPr>
            <b/>
            <sz val="9"/>
            <color indexed="81"/>
            <rFont val="Tahoma"/>
            <family val="2"/>
          </rPr>
          <t xml:space="preserve">Analista Operación CUBRE EN HORGAR CALDERRON AYLUARDO
</t>
        </r>
      </text>
    </comment>
    <comment ref="O62" authorId="2" shapeId="0" xr:uid="{0E6BE505-FC0F-4B93-BD69-EDE8F533B2BF}">
      <text>
        <r>
          <rPr>
            <b/>
            <sz val="9"/>
            <color indexed="81"/>
            <rFont val="Tahoma"/>
            <family val="2"/>
          </rPr>
          <t xml:space="preserve">CENTRO RECREACIONAL SUR </t>
        </r>
      </text>
    </comment>
    <comment ref="U62" authorId="3" shapeId="0" xr:uid="{D506BB20-F3B4-4B1E-9CC1-C3C9CD429E1A}">
      <text>
        <r>
          <rPr>
            <b/>
            <sz val="9"/>
            <color indexed="81"/>
            <rFont val="Tahoma"/>
            <family val="2"/>
          </rPr>
          <t xml:space="preserve">Analista Operación CUBRE EN HORGAR CALDERRON AYLUARDO
</t>
        </r>
      </text>
    </comment>
    <comment ref="W62" authorId="2" shapeId="0" xr:uid="{5271AEE7-FDFD-4838-A268-F904FBAFE778}">
      <text>
        <r>
          <rPr>
            <b/>
            <sz val="9"/>
            <color indexed="81"/>
            <rFont val="Tahoma"/>
            <family val="2"/>
          </rPr>
          <t xml:space="preserve">CENTRO RECREACIONAL SUR </t>
        </r>
      </text>
    </comment>
    <comment ref="AC62" authorId="3" shapeId="0" xr:uid="{34B542AC-7192-4D98-83DB-FAC98EED5BD7}">
      <text>
        <r>
          <rPr>
            <b/>
            <sz val="9"/>
            <color indexed="81"/>
            <rFont val="Tahoma"/>
            <family val="2"/>
          </rPr>
          <t xml:space="preserve">Analista Operación CUBRE EN HORGAR CALDERRON AYLUARDO
</t>
        </r>
      </text>
    </comment>
    <comment ref="AE62" authorId="2" shapeId="0" xr:uid="{10CE16E3-AC0A-415F-9479-D42159BD4012}">
      <text>
        <r>
          <rPr>
            <b/>
            <sz val="9"/>
            <color indexed="81"/>
            <rFont val="Tahoma"/>
            <family val="2"/>
          </rPr>
          <t xml:space="preserve">CENTRO RECREACIONAL SUR </t>
        </r>
      </text>
    </comment>
    <comment ref="AK62" authorId="3" shapeId="0" xr:uid="{79432E3F-8FA9-45BD-90CA-BE4486A532CA}">
      <text>
        <r>
          <rPr>
            <b/>
            <sz val="9"/>
            <color indexed="81"/>
            <rFont val="Tahoma"/>
            <family val="2"/>
          </rPr>
          <t xml:space="preserve">Analista Operación CUBRE EN HORGAR CALDERRON AYLUARDO
</t>
        </r>
      </text>
    </comment>
    <comment ref="J87" authorId="4" shapeId="0" xr:uid="{AC7993A6-091E-48F6-BD5D-C298A6DCE244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ASILO</t>
        </r>
      </text>
    </comment>
    <comment ref="M87" authorId="4" shapeId="0" xr:uid="{8709F597-B20E-4E7C-8C67-566A459FA238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MARILLAC</t>
        </r>
      </text>
    </comment>
    <comment ref="Q87" authorId="4" shapeId="0" xr:uid="{0DF958E9-EEE4-428C-BA8C-55967FE27E93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ASILO</t>
        </r>
      </text>
    </comment>
    <comment ref="R87" authorId="4" shapeId="0" xr:uid="{4CD07DD4-5B94-4EE0-9DDD-D3D68A7DE1E9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ASILO</t>
        </r>
      </text>
    </comment>
    <comment ref="T87" authorId="4" shapeId="0" xr:uid="{FA42FBF1-AD5A-4B1E-A81B-B8DDA8FB9BD3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MARILLAC</t>
        </r>
      </text>
    </comment>
    <comment ref="U87" authorId="4" shapeId="0" xr:uid="{244AA07A-A5C8-425B-8D06-2451ADC819BA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MARILLAC</t>
        </r>
      </text>
    </comment>
    <comment ref="Z87" authorId="4" shapeId="0" xr:uid="{EEEE1264-FF00-4707-9E5B-2774773E4AA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ASILO</t>
        </r>
      </text>
    </comment>
    <comment ref="AC87" authorId="4" shapeId="0" xr:uid="{3458FDA7-6D84-4969-9E86-46CE3A8B781D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MARILLAC</t>
        </r>
      </text>
    </comment>
    <comment ref="AG87" authorId="4" shapeId="0" xr:uid="{573BC93E-3A42-4E26-A954-493BDE718403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ASILO</t>
        </r>
      </text>
    </comment>
    <comment ref="AH87" authorId="4" shapeId="0" xr:uid="{EFB11AB4-CB64-404F-86DD-9A3A9B551035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ASILO</t>
        </r>
      </text>
    </comment>
    <comment ref="AJ87" authorId="4" shapeId="0" xr:uid="{1BB461B0-3A3D-4BBC-A607-D0993E06DE65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MARILLAC</t>
        </r>
      </text>
    </comment>
    <comment ref="AK87" authorId="4" shapeId="0" xr:uid="{4F14C152-3FC5-4C67-A3CD-F2E65013275A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MARILLAC</t>
        </r>
      </text>
    </comment>
    <comment ref="M89" authorId="0" shapeId="0" xr:uid="{AC2F4096-F63F-4D29-AF1E-EBDE40102317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SANTISTEVAN </t>
        </r>
      </text>
    </comment>
    <comment ref="U89" authorId="0" shapeId="0" xr:uid="{086855C6-92E4-487A-ADB5-C26D35737876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SANTISTEVAN </t>
        </r>
      </text>
    </comment>
    <comment ref="AB89" authorId="0" shapeId="0" xr:uid="{6C41EAFC-5ECA-422D-84DF-82302D6A2E0D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SANTISTEVAN </t>
        </r>
      </text>
    </comment>
    <comment ref="AC89" authorId="0" shapeId="0" xr:uid="{96143744-45D7-41D0-BCC4-B2B89169294E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SANTISTEVAN </t>
        </r>
      </text>
    </comment>
    <comment ref="AK89" authorId="0" shapeId="0" xr:uid="{FDDCEC65-8C7C-481E-825E-E5325F66DD6C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SANTISTEVAN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Aguilar</author>
    <author>jsalazar</author>
    <author>Lider Operativo GYE</author>
    <author>CENTRO DE CONTROL</author>
    <author>Analista Operaciones</author>
    <author>OPS GYE</author>
  </authors>
  <commentList>
    <comment ref="O13" authorId="0" shapeId="0" xr:uid="{482E0C3A-FE4B-4525-BF0E-D26C6FA89ABE}">
      <text>
        <r>
          <rPr>
            <b/>
            <sz val="9"/>
            <color indexed="81"/>
            <rFont val="Tahoma"/>
            <charset val="1"/>
          </rPr>
          <t>CUBRE SR MOLINA TURNO DE SUPERVISOR</t>
        </r>
      </text>
    </comment>
    <comment ref="H21" authorId="1" shapeId="0" xr:uid="{687ED12F-F564-46EA-BE0C-9D33395D8BEF}">
      <text>
        <r>
          <rPr>
            <b/>
            <sz val="9"/>
            <color indexed="81"/>
            <rFont val="Tahoma"/>
            <family val="2"/>
          </rPr>
          <t xml:space="preserve">CC. Plaza ceibos </t>
        </r>
      </text>
    </comment>
    <comment ref="I21" authorId="1" shapeId="0" xr:uid="{6303F3E7-C96B-4694-9662-4F297911469C}">
      <text>
        <r>
          <rPr>
            <b/>
            <sz val="9"/>
            <color indexed="81"/>
            <rFont val="Tahoma"/>
            <family val="2"/>
          </rPr>
          <t xml:space="preserve">CC. Plaza ceibos </t>
        </r>
      </text>
    </comment>
    <comment ref="M21" authorId="1" shapeId="0" xr:uid="{E7950265-9569-4C31-94CC-D4C4C74C7C20}">
      <text>
        <r>
          <rPr>
            <b/>
            <sz val="9"/>
            <color indexed="81"/>
            <rFont val="Tahoma"/>
            <family val="2"/>
          </rPr>
          <t>CC. Plaza Ceibos</t>
        </r>
      </text>
    </comment>
    <comment ref="P21" authorId="1" shapeId="0" xr:uid="{98F7E8D8-3140-4BEB-9294-30E38812E914}">
      <text>
        <r>
          <rPr>
            <b/>
            <sz val="9"/>
            <color indexed="81"/>
            <rFont val="Tahoma"/>
            <family val="2"/>
          </rPr>
          <t xml:space="preserve">CC. Plaza ceibos </t>
        </r>
      </text>
    </comment>
    <comment ref="Q21" authorId="1" shapeId="0" xr:uid="{018ADFEB-4629-446E-BEF1-5C57DFE642D7}">
      <text>
        <r>
          <rPr>
            <b/>
            <sz val="9"/>
            <color indexed="81"/>
            <rFont val="Tahoma"/>
            <family val="2"/>
          </rPr>
          <t xml:space="preserve">CC. Plaza ceibos </t>
        </r>
      </text>
    </comment>
    <comment ref="U21" authorId="1" shapeId="0" xr:uid="{2C127522-C6E5-4222-8622-6C7405430FDC}">
      <text>
        <r>
          <rPr>
            <b/>
            <sz val="9"/>
            <color indexed="81"/>
            <rFont val="Tahoma"/>
            <family val="2"/>
          </rPr>
          <t>CC. Plaza Ceibos</t>
        </r>
      </text>
    </comment>
    <comment ref="X21" authorId="1" shapeId="0" xr:uid="{ACA0C57F-4A30-48EE-806B-EBC77CC54F96}">
      <text>
        <r>
          <rPr>
            <b/>
            <sz val="9"/>
            <color indexed="81"/>
            <rFont val="Tahoma"/>
            <family val="2"/>
          </rPr>
          <t xml:space="preserve">CC. Plaza ceibos </t>
        </r>
      </text>
    </comment>
    <comment ref="Y21" authorId="1" shapeId="0" xr:uid="{0BC2F620-6289-4FD8-B047-48689E5D1F88}">
      <text>
        <r>
          <rPr>
            <b/>
            <sz val="9"/>
            <color indexed="81"/>
            <rFont val="Tahoma"/>
            <family val="2"/>
          </rPr>
          <t xml:space="preserve">CC. Plaza ceibos </t>
        </r>
      </text>
    </comment>
    <comment ref="AC21" authorId="1" shapeId="0" xr:uid="{8AC2FB23-4EF3-4BBF-9130-7744BDFD7B40}">
      <text>
        <r>
          <rPr>
            <b/>
            <sz val="9"/>
            <color indexed="81"/>
            <rFont val="Tahoma"/>
            <family val="2"/>
          </rPr>
          <t>CC. Plaza Ceibos</t>
        </r>
      </text>
    </comment>
    <comment ref="AG21" authorId="1" shapeId="0" xr:uid="{E4DDA600-8450-4CA3-9A5F-C822E040859A}">
      <text>
        <r>
          <rPr>
            <b/>
            <sz val="9"/>
            <color indexed="81"/>
            <rFont val="Tahoma"/>
            <family val="2"/>
          </rPr>
          <t xml:space="preserve">CC. Plaza ceibos </t>
        </r>
      </text>
    </comment>
    <comment ref="AK21" authorId="1" shapeId="0" xr:uid="{75025A67-3153-4213-B8A1-62FCA6A0C082}">
      <text>
        <r>
          <rPr>
            <b/>
            <sz val="9"/>
            <color indexed="81"/>
            <rFont val="Tahoma"/>
            <family val="2"/>
          </rPr>
          <t>CC. Plaza Ceibos</t>
        </r>
      </text>
    </comment>
    <comment ref="H46" authorId="2" shapeId="0" xr:uid="{EB4C3DC5-3032-4463-BC49-3C58D2B2562B}">
      <text>
        <r>
          <rPr>
            <b/>
            <sz val="9"/>
            <color indexed="81"/>
            <rFont val="Tahoma"/>
            <family val="2"/>
          </rPr>
          <t>Lider Operativo GYE:</t>
        </r>
        <r>
          <rPr>
            <sz val="9"/>
            <color indexed="81"/>
            <rFont val="Tahoma"/>
            <family val="2"/>
          </rPr>
          <t xml:space="preserve">
CUBRE EN PLAZA ORELLANA
</t>
        </r>
      </text>
    </comment>
    <comment ref="J46" authorId="2" shapeId="0" xr:uid="{947E8A98-0F4E-4EFE-B7AF-FE2DF5214B34}">
      <text>
        <r>
          <rPr>
            <b/>
            <sz val="9"/>
            <color indexed="81"/>
            <rFont val="Tahoma"/>
            <family val="2"/>
          </rPr>
          <t>Lider Operativo GYE:</t>
        </r>
        <r>
          <rPr>
            <sz val="9"/>
            <color indexed="81"/>
            <rFont val="Tahoma"/>
            <family val="2"/>
          </rPr>
          <t xml:space="preserve">
CUBRE EN PLAZA ORELLANA
</t>
        </r>
      </text>
    </comment>
    <comment ref="P46" authorId="2" shapeId="0" xr:uid="{16BBAC64-62F3-485B-9F88-E1D8A5F2ACCF}">
      <text>
        <r>
          <rPr>
            <b/>
            <sz val="9"/>
            <color indexed="81"/>
            <rFont val="Tahoma"/>
            <family val="2"/>
          </rPr>
          <t>Lider Operativo GYE:</t>
        </r>
        <r>
          <rPr>
            <sz val="9"/>
            <color indexed="81"/>
            <rFont val="Tahoma"/>
            <family val="2"/>
          </rPr>
          <t xml:space="preserve">
CUBRE EN PLAZA ORELLANA
</t>
        </r>
      </text>
    </comment>
    <comment ref="R46" authorId="2" shapeId="0" xr:uid="{68BDE072-EA71-49DD-A824-FF6427E2587A}">
      <text>
        <r>
          <rPr>
            <b/>
            <sz val="9"/>
            <color indexed="81"/>
            <rFont val="Tahoma"/>
            <family val="2"/>
          </rPr>
          <t>Lider Operativo GYE:</t>
        </r>
        <r>
          <rPr>
            <sz val="9"/>
            <color indexed="81"/>
            <rFont val="Tahoma"/>
            <family val="2"/>
          </rPr>
          <t xml:space="preserve">
CUBRE EN PLAZA ORELLANA
</t>
        </r>
      </text>
    </comment>
    <comment ref="X46" authorId="2" shapeId="0" xr:uid="{7EC04095-F56C-441F-AB33-AF972555461D}">
      <text>
        <r>
          <rPr>
            <b/>
            <sz val="9"/>
            <color indexed="81"/>
            <rFont val="Tahoma"/>
            <family val="2"/>
          </rPr>
          <t>Lider Operativo GYE:</t>
        </r>
        <r>
          <rPr>
            <sz val="9"/>
            <color indexed="81"/>
            <rFont val="Tahoma"/>
            <family val="2"/>
          </rPr>
          <t xml:space="preserve">
CUBRE EN PLAZA ORELLANA
</t>
        </r>
      </text>
    </comment>
    <comment ref="Y46" authorId="2" shapeId="0" xr:uid="{2DE69533-ADB5-47BC-A8AF-35D3C7B02822}">
      <text>
        <r>
          <rPr>
            <b/>
            <sz val="9"/>
            <color indexed="81"/>
            <rFont val="Tahoma"/>
            <family val="2"/>
          </rPr>
          <t>Lider Operativo GYE:</t>
        </r>
        <r>
          <rPr>
            <sz val="9"/>
            <color indexed="81"/>
            <rFont val="Tahoma"/>
            <family val="2"/>
          </rPr>
          <t xml:space="preserve">
CUBRE EN PLAZA ORELLANA
</t>
        </r>
      </text>
    </comment>
    <comment ref="Z46" authorId="2" shapeId="0" xr:uid="{51D381D9-EFB4-4E5F-917A-9348067ED716}">
      <text>
        <r>
          <rPr>
            <b/>
            <sz val="9"/>
            <color indexed="81"/>
            <rFont val="Tahoma"/>
            <family val="2"/>
          </rPr>
          <t>Lider Operativo GYE:</t>
        </r>
        <r>
          <rPr>
            <sz val="9"/>
            <color indexed="81"/>
            <rFont val="Tahoma"/>
            <family val="2"/>
          </rPr>
          <t xml:space="preserve">
CUBRE EN PLAZA ORELLANA
</t>
        </r>
      </text>
    </comment>
    <comment ref="AF46" authorId="2" shapeId="0" xr:uid="{DA62850B-1CBF-4AD9-AEFD-14C1C6F74A39}">
      <text>
        <r>
          <rPr>
            <b/>
            <sz val="9"/>
            <color indexed="81"/>
            <rFont val="Tahoma"/>
            <family val="2"/>
          </rPr>
          <t>Lider Operativo GYE:</t>
        </r>
        <r>
          <rPr>
            <sz val="9"/>
            <color indexed="81"/>
            <rFont val="Tahoma"/>
            <family val="2"/>
          </rPr>
          <t xml:space="preserve">
CUBRE EN PLAZA ORELLANA
</t>
        </r>
      </text>
    </comment>
    <comment ref="AH46" authorId="2" shapeId="0" xr:uid="{12977F5E-2A34-4767-B1AB-994D13E8B4D5}">
      <text>
        <r>
          <rPr>
            <b/>
            <sz val="9"/>
            <color indexed="81"/>
            <rFont val="Tahoma"/>
            <family val="2"/>
          </rPr>
          <t>Lider Operativo GYE:</t>
        </r>
        <r>
          <rPr>
            <sz val="9"/>
            <color indexed="81"/>
            <rFont val="Tahoma"/>
            <family val="2"/>
          </rPr>
          <t xml:space="preserve">
CUBRE EN PLAZA ORELLANA
</t>
        </r>
      </text>
    </comment>
    <comment ref="AI46" authorId="2" shapeId="0" xr:uid="{1C98155B-EE5A-458D-A896-C13BDD5E95B8}">
      <text>
        <r>
          <rPr>
            <b/>
            <sz val="9"/>
            <color indexed="81"/>
            <rFont val="Tahoma"/>
            <family val="2"/>
          </rPr>
          <t>Lider Operativo GYE:</t>
        </r>
        <r>
          <rPr>
            <sz val="9"/>
            <color indexed="81"/>
            <rFont val="Tahoma"/>
            <family val="2"/>
          </rPr>
          <t xml:space="preserve">
CUBRE EN PLAZA ORELLANA
</t>
        </r>
      </text>
    </comment>
    <comment ref="Q59" authorId="1" shapeId="0" xr:uid="{6DF018CA-79E6-447E-9974-66FEE6FB6988}">
      <text>
        <r>
          <rPr>
            <b/>
            <sz val="9"/>
            <color indexed="81"/>
            <rFont val="Tahoma"/>
            <family val="2"/>
          </rPr>
          <t xml:space="preserve">CENTRO 
CONDOMINIO </t>
        </r>
      </text>
    </comment>
    <comment ref="K60" authorId="1" shapeId="0" xr:uid="{D7731E26-2F7E-4F46-992B-2320D5D7E38A}">
      <text>
        <r>
          <rPr>
            <b/>
            <sz val="9"/>
            <color indexed="81"/>
            <rFont val="Tahoma"/>
            <family val="2"/>
          </rPr>
          <t xml:space="preserve">CENTRO 
CONDOMINIO </t>
        </r>
      </text>
    </comment>
    <comment ref="S60" authorId="1" shapeId="0" xr:uid="{EE0F1B54-6EFA-4A21-8ABB-18A12F879810}">
      <text>
        <r>
          <rPr>
            <b/>
            <sz val="9"/>
            <color indexed="81"/>
            <rFont val="Tahoma"/>
            <family val="2"/>
          </rPr>
          <t xml:space="preserve">CENTRO 
CONDOMINIO </t>
        </r>
      </text>
    </comment>
    <comment ref="T60" authorId="1" shapeId="0" xr:uid="{CF8A2DBE-00C2-4656-91C2-23ACF0D17DCB}">
      <text>
        <r>
          <rPr>
            <b/>
            <sz val="9"/>
            <color indexed="81"/>
            <rFont val="Tahoma"/>
            <family val="2"/>
          </rPr>
          <t xml:space="preserve">CENTRO 
CONDOMINIO </t>
        </r>
      </text>
    </comment>
    <comment ref="AA60" authorId="1" shapeId="0" xr:uid="{4EDDA708-19DD-44E4-B59D-EB813B83BB4E}">
      <text>
        <r>
          <rPr>
            <b/>
            <sz val="9"/>
            <color indexed="81"/>
            <rFont val="Tahoma"/>
            <family val="2"/>
          </rPr>
          <t xml:space="preserve">CENTRO 
CONDOMINIO </t>
        </r>
      </text>
    </comment>
    <comment ref="AB60" authorId="1" shapeId="0" xr:uid="{5559C9E3-92B5-4733-AC60-FD02BACF7F9D}">
      <text>
        <r>
          <rPr>
            <b/>
            <sz val="9"/>
            <color indexed="81"/>
            <rFont val="Tahoma"/>
            <family val="2"/>
          </rPr>
          <t xml:space="preserve">CENTRO 
CONDOMINIO </t>
        </r>
      </text>
    </comment>
    <comment ref="AJ60" authorId="1" shapeId="0" xr:uid="{AE4EB08C-C18E-4458-9D3D-0B62A0D7B395}">
      <text>
        <r>
          <rPr>
            <b/>
            <sz val="9"/>
            <color indexed="81"/>
            <rFont val="Tahoma"/>
            <family val="2"/>
          </rPr>
          <t xml:space="preserve">CENTRO 
CONDOMINIO </t>
        </r>
      </text>
    </comment>
    <comment ref="F62" authorId="3" shapeId="0" xr:uid="{66A95BDD-2048-4572-8C99-297F304A630D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PATERNIDAD DE JEFFERSON MARTIN MURILLO RAMIREZ</t>
        </r>
      </text>
    </comment>
    <comment ref="L62" authorId="3" shapeId="0" xr:uid="{E95845E4-A301-4296-8365-45E3EE64FF22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TUNRO EN HLV</t>
        </r>
      </text>
    </comment>
    <comment ref="T62" authorId="3" shapeId="0" xr:uid="{0758ACB4-E506-40FF-B25F-B9CF260072CF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TUNRO EN HLV</t>
        </r>
      </text>
    </comment>
    <comment ref="AB62" authorId="3" shapeId="0" xr:uid="{B1EE610E-31EB-4C23-89A4-F83B8A56A637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TUNRO EN HLV</t>
        </r>
      </text>
    </comment>
    <comment ref="AJ62" authorId="3" shapeId="0" xr:uid="{C0DD250B-C3B9-4F87-A3A0-3FEF393E40A9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TUNRO EN HLV</t>
        </r>
      </text>
    </comment>
    <comment ref="G72" authorId="4" shapeId="0" xr:uid="{E154CC91-ECD7-411B-99EC-5EF902BF48AB}">
      <text>
        <r>
          <rPr>
            <b/>
            <sz val="9"/>
            <color indexed="81"/>
            <rFont val="Tahoma"/>
            <family val="2"/>
          </rPr>
          <t>Analista Operaciones:</t>
        </r>
        <r>
          <rPr>
            <sz val="9"/>
            <color indexed="81"/>
            <rFont val="Tahoma"/>
            <family val="2"/>
          </rPr>
          <t xml:space="preserve">
09 OCT BOULEVARD 10,5</t>
        </r>
      </text>
    </comment>
    <comment ref="O72" authorId="4" shapeId="0" xr:uid="{8BCEF343-C9C9-4C24-95C5-B06EEFCE28A6}">
      <text>
        <r>
          <rPr>
            <b/>
            <sz val="9"/>
            <color indexed="81"/>
            <rFont val="Tahoma"/>
            <family val="2"/>
          </rPr>
          <t>Analista Operaciones:</t>
        </r>
        <r>
          <rPr>
            <sz val="9"/>
            <color indexed="81"/>
            <rFont val="Tahoma"/>
            <family val="2"/>
          </rPr>
          <t xml:space="preserve">
09 OCT BOULEVARD 10,5</t>
        </r>
      </text>
    </comment>
    <comment ref="W72" authorId="4" shapeId="0" xr:uid="{F9BDFE0B-56DE-4EFA-A77B-71BA3D95E740}">
      <text>
        <r>
          <rPr>
            <b/>
            <sz val="9"/>
            <color indexed="81"/>
            <rFont val="Tahoma"/>
            <family val="2"/>
          </rPr>
          <t>Analista Operaciones:</t>
        </r>
        <r>
          <rPr>
            <sz val="9"/>
            <color indexed="81"/>
            <rFont val="Tahoma"/>
            <family val="2"/>
          </rPr>
          <t xml:space="preserve">
09 OCT BOULEVARD 10,5</t>
        </r>
      </text>
    </comment>
    <comment ref="AE72" authorId="4" shapeId="0" xr:uid="{31881997-2E86-44E5-BEAB-3EDAB8C92EA5}">
      <text>
        <r>
          <rPr>
            <b/>
            <sz val="9"/>
            <color indexed="81"/>
            <rFont val="Tahoma"/>
            <family val="2"/>
          </rPr>
          <t>Analista Operaciones:</t>
        </r>
        <r>
          <rPr>
            <sz val="9"/>
            <color indexed="81"/>
            <rFont val="Tahoma"/>
            <family val="2"/>
          </rPr>
          <t xml:space="preserve">
09 OCT BOULEVARD 12,5</t>
        </r>
      </text>
    </comment>
    <comment ref="M74" authorId="4" shapeId="0" xr:uid="{3016BD85-23C8-43C2-B1EC-C9D2B163F3F9}">
      <text>
        <r>
          <rPr>
            <b/>
            <sz val="9"/>
            <color indexed="81"/>
            <rFont val="Tahoma"/>
            <family val="2"/>
          </rPr>
          <t>Analista Operaciones:</t>
        </r>
        <r>
          <rPr>
            <sz val="9"/>
            <color indexed="81"/>
            <rFont val="Tahoma"/>
            <family val="2"/>
          </rPr>
          <t xml:space="preserve">
LA ROCA</t>
        </r>
      </text>
    </comment>
    <comment ref="T74" authorId="4" shapeId="0" xr:uid="{7E042DA1-E9E8-4D1D-994E-41DFA8527FBB}">
      <text>
        <r>
          <rPr>
            <b/>
            <sz val="9"/>
            <color indexed="81"/>
            <rFont val="Tahoma"/>
            <family val="2"/>
          </rPr>
          <t>Analista Operaciones:</t>
        </r>
        <r>
          <rPr>
            <sz val="9"/>
            <color indexed="81"/>
            <rFont val="Tahoma"/>
            <family val="2"/>
          </rPr>
          <t xml:space="preserve">
LA ROCA</t>
        </r>
      </text>
    </comment>
    <comment ref="U74" authorId="4" shapeId="0" xr:uid="{3B80A147-59AF-4EAB-9422-DEEE920670BF}">
      <text>
        <r>
          <rPr>
            <b/>
            <sz val="9"/>
            <color indexed="81"/>
            <rFont val="Tahoma"/>
            <family val="2"/>
          </rPr>
          <t>Analista Operaciones:</t>
        </r>
        <r>
          <rPr>
            <sz val="9"/>
            <color indexed="81"/>
            <rFont val="Tahoma"/>
            <family val="2"/>
          </rPr>
          <t xml:space="preserve">
LA ROCA</t>
        </r>
      </text>
    </comment>
    <comment ref="AC74" authorId="4" shapeId="0" xr:uid="{3E1D2253-79E6-4573-AEAF-CEB65F8F35FD}">
      <text>
        <r>
          <rPr>
            <b/>
            <sz val="9"/>
            <color indexed="81"/>
            <rFont val="Tahoma"/>
            <family val="2"/>
          </rPr>
          <t>Analista Operaciones:</t>
        </r>
        <r>
          <rPr>
            <sz val="9"/>
            <color indexed="81"/>
            <rFont val="Tahoma"/>
            <family val="2"/>
          </rPr>
          <t xml:space="preserve">
LA ROCA</t>
        </r>
      </text>
    </comment>
    <comment ref="AJ74" authorId="4" shapeId="0" xr:uid="{56D7C5BD-5EB2-4364-A484-739A7C9EDBA5}">
      <text>
        <r>
          <rPr>
            <b/>
            <sz val="9"/>
            <color indexed="81"/>
            <rFont val="Tahoma"/>
            <family val="2"/>
          </rPr>
          <t>Analista Operaciones:</t>
        </r>
        <r>
          <rPr>
            <sz val="9"/>
            <color indexed="81"/>
            <rFont val="Tahoma"/>
            <family val="2"/>
          </rPr>
          <t xml:space="preserve">
LA ROCA</t>
        </r>
      </text>
    </comment>
    <comment ref="AK74" authorId="4" shapeId="0" xr:uid="{8EFB6346-CFA2-40F7-82C6-06B10BDE7277}">
      <text>
        <r>
          <rPr>
            <b/>
            <sz val="9"/>
            <color indexed="81"/>
            <rFont val="Tahoma"/>
            <family val="2"/>
          </rPr>
          <t>Analista Operaciones:</t>
        </r>
        <r>
          <rPr>
            <sz val="9"/>
            <color indexed="81"/>
            <rFont val="Tahoma"/>
            <family val="2"/>
          </rPr>
          <t xml:space="preserve">
LA ROCA</t>
        </r>
      </text>
    </comment>
    <comment ref="L84" authorId="5" shapeId="0" xr:uid="{4C96D288-1F59-40B5-8E4A-9DF7D2E8A3B4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8H</t>
        </r>
      </text>
    </comment>
    <comment ref="T84" authorId="5" shapeId="0" xr:uid="{B6FF86BC-3B50-4CCD-9D00-EED40482AB6F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8H</t>
        </r>
      </text>
    </comment>
    <comment ref="AB84" authorId="5" shapeId="0" xr:uid="{6A883FE5-098F-4019-99E6-D4BC79E1E516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8H</t>
        </r>
      </text>
    </comment>
    <comment ref="AJ84" authorId="5" shapeId="0" xr:uid="{D954EB58-B980-4CD2-8DA4-E7445A5068A6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8H</t>
        </r>
      </text>
    </comment>
    <comment ref="L85" authorId="5" shapeId="0" xr:uid="{5B475DDD-C972-4A90-B49E-657DE0419CC2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10,5H</t>
        </r>
      </text>
    </comment>
    <comment ref="T85" authorId="5" shapeId="0" xr:uid="{15C4B2B2-F51F-4071-AC0B-E36E9719A59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10,5H</t>
        </r>
      </text>
    </comment>
    <comment ref="AB85" authorId="5" shapeId="0" xr:uid="{1B3659F4-4E4E-4E0B-8F33-559663F80B91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10,5H</t>
        </r>
      </text>
    </comment>
    <comment ref="AJ85" authorId="5" shapeId="0" xr:uid="{8E624409-D9F8-43F2-BC8B-4C9250808D40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10,5H</t>
        </r>
      </text>
    </comment>
    <comment ref="C86" authorId="5" shapeId="0" xr:uid="{03791947-BD25-462A-87E1-0DB23230D103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L-S 12.5H 07H30 - 20H00 </t>
        </r>
      </text>
    </comment>
    <comment ref="M86" authorId="5" shapeId="0" xr:uid="{285BB546-EF21-4918-BA2D-29C9F04AC67B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PLAZA ORELLANA 8H</t>
        </r>
      </text>
    </comment>
    <comment ref="U86" authorId="5" shapeId="0" xr:uid="{61044529-6DB6-4C36-BDC0-E288B39BE60A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PLAZA ORELLANA 8H</t>
        </r>
      </text>
    </comment>
    <comment ref="AC86" authorId="5" shapeId="0" xr:uid="{C1C221AA-6CD4-4466-8521-68665C26202F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PLAZA ORELLANA 8H</t>
        </r>
      </text>
    </comment>
    <comment ref="AK86" authorId="5" shapeId="0" xr:uid="{217FEB8F-26CC-43E8-A1A1-891BD5B70A65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PLAZA ORELLANA 8H</t>
        </r>
      </text>
    </comment>
    <comment ref="L87" authorId="5" shapeId="0" xr:uid="{DCDE4836-9070-4EA9-BAB6-B143CC4EEE6D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8,5H</t>
        </r>
      </text>
    </comment>
    <comment ref="T87" authorId="5" shapeId="0" xr:uid="{618D0105-2727-49DA-B9F9-99E116E28819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8,5H</t>
        </r>
      </text>
    </comment>
    <comment ref="AB87" authorId="5" shapeId="0" xr:uid="{DDA6B282-45C8-4C65-8818-276678766F56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8,5H</t>
        </r>
      </text>
    </comment>
    <comment ref="AJ87" authorId="5" shapeId="0" xr:uid="{61D10D15-4EBB-4068-8E3D-8E8DE8BCF5DF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8,5H</t>
        </r>
      </text>
    </comment>
    <comment ref="L88" authorId="5" shapeId="0" xr:uid="{688A1F2E-5A38-44B2-9E11-9B5378630D4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8,5H</t>
        </r>
      </text>
    </comment>
    <comment ref="T88" authorId="5" shapeId="0" xr:uid="{F05495D4-D809-46E1-AC34-B736F4B7AFBA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8,5H</t>
        </r>
      </text>
    </comment>
    <comment ref="AB88" authorId="5" shapeId="0" xr:uid="{B15488A0-01CD-45FB-B44F-E3DFAD9C07BB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8,5H</t>
        </r>
      </text>
    </comment>
    <comment ref="AJ88" authorId="5" shapeId="0" xr:uid="{453E264B-7889-4901-AF14-C697F403C23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8,5H</t>
        </r>
      </text>
    </comment>
    <comment ref="C89" authorId="5" shapeId="0" xr:uid="{39FEAAEA-FEBA-4B66-83C4-546AA7BD233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L-V 12.5H/S 11.5H</t>
        </r>
      </text>
    </comment>
    <comment ref="L89" authorId="5" shapeId="0" xr:uid="{1B278035-9B6B-44C5-AA0A-D74146375DFA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11,5H</t>
        </r>
      </text>
    </comment>
    <comment ref="T89" authorId="5" shapeId="0" xr:uid="{0EC5F38B-194A-48F3-B834-7A3C1FB7C8A9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11,5H</t>
        </r>
      </text>
    </comment>
    <comment ref="AB89" authorId="5" shapeId="0" xr:uid="{ED8F269C-6585-4D02-9FC5-C0F30D07E50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11,5H</t>
        </r>
      </text>
    </comment>
    <comment ref="AJ89" authorId="5" shapeId="0" xr:uid="{D373441A-17E2-49FB-B060-904036BA8D36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11,5H</t>
        </r>
      </text>
    </comment>
    <comment ref="L99" authorId="5" shapeId="0" xr:uid="{1F35328E-86A6-412E-8AB4-65A175707114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PDS VELEZ 7 H / 08:00 A 15:00
SOLO LOS SABADOS DESDE EL 21 DE JUNIO 2025</t>
        </r>
      </text>
    </comment>
    <comment ref="T99" authorId="5" shapeId="0" xr:uid="{126A5E61-3C48-4494-BF58-5EF3D5DEEF79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PDS VELEZ 7 H / 08:00 A 15:00
SOLO LOS SABADOS DESDE EL 21 DE JUNIO 2025</t>
        </r>
      </text>
    </comment>
    <comment ref="AB99" authorId="5" shapeId="0" xr:uid="{BDDFAA47-B53A-4BF9-8A87-D35BA31161DE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PDS VELEZ 7 H / 08:00 A 15:00
SOLO LOS SABADOS DESDE EL 21 DE JUNIO 2025</t>
        </r>
      </text>
    </comment>
    <comment ref="AJ99" authorId="5" shapeId="0" xr:uid="{E7556E7E-8860-4898-AC7F-CE214FF2CD76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EN PDS VELEZ 7 H / 08:00 A 15:00
SOLO LOS SABADOS DESDE EL 21 DE JUNIO 2025</t>
        </r>
      </text>
    </comment>
    <comment ref="B119" authorId="5" shapeId="0" xr:uid="{76D43757-1F0F-4D30-9FCC-2AA30FB95FF6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SUPERVISION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Aguilar</author>
  </authors>
  <commentList>
    <comment ref="J32" authorId="0" shapeId="0" xr:uid="{00FC250E-E490-43AA-88BA-48B470441786}">
      <text>
        <r>
          <rPr>
            <b/>
            <sz val="9"/>
            <color indexed="81"/>
            <rFont val="Tahoma"/>
            <family val="2"/>
          </rPr>
          <t>CEMENTERIO 10H</t>
        </r>
      </text>
    </comment>
    <comment ref="R32" authorId="0" shapeId="0" xr:uid="{90C157A5-AF8B-4C58-BE45-E029E50EC1C9}">
      <text>
        <r>
          <rPr>
            <b/>
            <sz val="9"/>
            <color indexed="81"/>
            <rFont val="Tahoma"/>
            <family val="2"/>
          </rPr>
          <t>CEMENTERIO 10H</t>
        </r>
      </text>
    </comment>
    <comment ref="Z32" authorId="0" shapeId="0" xr:uid="{9403814A-C487-4DC9-A49C-689136DCA3E8}">
      <text>
        <r>
          <rPr>
            <b/>
            <sz val="9"/>
            <color indexed="81"/>
            <rFont val="Tahoma"/>
            <family val="2"/>
          </rPr>
          <t>CEMENTERIO 10H</t>
        </r>
      </text>
    </comment>
    <comment ref="AH32" authorId="0" shapeId="0" xr:uid="{C357676E-659C-432A-A746-4815E3AE13BD}">
      <text>
        <r>
          <rPr>
            <b/>
            <sz val="9"/>
            <color indexed="81"/>
            <rFont val="Tahoma"/>
            <family val="2"/>
          </rPr>
          <t>CEMENTERIO 10H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CENTRO DE CONTROL</author>
    <author>OPS GYE</author>
    <author>Juan Salazar</author>
  </authors>
  <commentList>
    <comment ref="J11" authorId="0" shapeId="0" xr:uid="{40EFB664-9E65-45DB-8896-8670E763DA7D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VISTONY </t>
        </r>
      </text>
    </comment>
    <comment ref="K11" authorId="0" shapeId="0" xr:uid="{9870B2D2-F501-413E-A1AD-5F0D5A5CA356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VISTONY </t>
        </r>
      </text>
    </comment>
    <comment ref="R11" authorId="0" shapeId="0" xr:uid="{28A772AB-7E57-423D-9B2D-A99B7FCB7752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VISTONY </t>
        </r>
      </text>
    </comment>
    <comment ref="S11" authorId="0" shapeId="0" xr:uid="{6EC0A535-2FA8-407E-8632-A559F54DFE65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VISTONY </t>
        </r>
      </text>
    </comment>
    <comment ref="Z11" authorId="0" shapeId="0" xr:uid="{B30A367D-6370-49D2-88AD-C55F0D45CBF0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VISTONY </t>
        </r>
      </text>
    </comment>
    <comment ref="AA11" authorId="0" shapeId="0" xr:uid="{11CF5478-42FD-4E92-80E2-4746F8F2F392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VISTONY </t>
        </r>
      </text>
    </comment>
    <comment ref="AH11" authorId="0" shapeId="0" xr:uid="{76ACAAC3-57D3-427A-A915-5B202D7EEEFA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VISTONY </t>
        </r>
      </text>
    </comment>
    <comment ref="AI11" authorId="0" shapeId="0" xr:uid="{AFBB05ED-A192-47EE-8977-2133CB2F300C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VISTONY </t>
        </r>
      </text>
    </comment>
    <comment ref="AP11" authorId="0" shapeId="0" xr:uid="{648CDD8B-65FD-4387-98F7-6B8D3023D79C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VISTONY </t>
        </r>
      </text>
    </comment>
    <comment ref="AQ11" authorId="0" shapeId="0" xr:uid="{4775FEBF-F9C1-40C0-9A83-C320BFD87C9C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VISTONY </t>
        </r>
      </text>
    </comment>
    <comment ref="I13" authorId="1" shapeId="0" xr:uid="{0DF31B22-FF3A-4E87-A591-764ABFAF04EC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14 H DESDE LAS 17:00 A 07:00 AM.</t>
        </r>
      </text>
    </comment>
    <comment ref="K13" authorId="2" shapeId="0" xr:uid="{E8263146-8034-4B49-9E98-25953F27CE00}">
      <text>
        <r>
          <rPr>
            <b/>
            <sz val="9"/>
            <color indexed="81"/>
            <rFont val="Tahoma"/>
            <family val="2"/>
          </rPr>
          <t>VISTONY 19H00-08H00</t>
        </r>
      </text>
    </comment>
    <comment ref="Q13" authorId="1" shapeId="0" xr:uid="{8A799A3E-904E-459C-858F-C3DEF56A698E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14 H DESDE LAS 17:00 A 07:00 AM.</t>
        </r>
      </text>
    </comment>
    <comment ref="R13" authorId="0" shapeId="0" xr:uid="{F2C25F1C-F746-480F-853C-6FA213987A22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CUBRE EN VISTONY</t>
        </r>
      </text>
    </comment>
    <comment ref="S13" authorId="2" shapeId="0" xr:uid="{7BD0B5F8-2F2D-43BC-A212-6B1B3DBE21A9}">
      <text>
        <r>
          <rPr>
            <b/>
            <sz val="9"/>
            <color indexed="81"/>
            <rFont val="Tahoma"/>
            <family val="2"/>
          </rPr>
          <t>VISTONY 19H00-08H00</t>
        </r>
      </text>
    </comment>
    <comment ref="Y13" authorId="1" shapeId="0" xr:uid="{4533BBB5-3DC1-410D-B940-B71C0977F6D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14 H DESDE LAS 17:00 A 07:00 AM.</t>
        </r>
      </text>
    </comment>
    <comment ref="AA13" authorId="2" shapeId="0" xr:uid="{9C2301B9-0EE8-47D8-8C2E-10B192D826C3}">
      <text>
        <r>
          <rPr>
            <b/>
            <sz val="9"/>
            <color indexed="81"/>
            <rFont val="Tahoma"/>
            <family val="2"/>
          </rPr>
          <t>VISTONY 19H00-08H00</t>
        </r>
      </text>
    </comment>
    <comment ref="AG13" authorId="1" shapeId="0" xr:uid="{EAA30439-619F-4851-963F-0A8F6E03DB92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14 H DESDE LAS 17:00 A 07:00 AM.</t>
        </r>
      </text>
    </comment>
    <comment ref="AI13" authorId="2" shapeId="0" xr:uid="{07651BD5-8224-4A58-A653-10781FB29EAF}">
      <text>
        <r>
          <rPr>
            <b/>
            <sz val="9"/>
            <color indexed="81"/>
            <rFont val="Tahoma"/>
            <family val="2"/>
          </rPr>
          <t>VISTONY 19H00-08H00</t>
        </r>
      </text>
    </comment>
    <comment ref="AO13" authorId="1" shapeId="0" xr:uid="{5BBFDDF0-8A1F-4FF8-921F-235B1FA047E1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14 H DESDE LAS 17:00 A 07:00 AM.</t>
        </r>
      </text>
    </comment>
    <comment ref="AQ13" authorId="2" shapeId="0" xr:uid="{CD8CABB5-76D2-4569-8F0D-980821A55DDA}">
      <text>
        <r>
          <rPr>
            <b/>
            <sz val="9"/>
            <color indexed="81"/>
            <rFont val="Tahoma"/>
            <family val="2"/>
          </rPr>
          <t>VISTONY 19H00-08H00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OPS GYE</author>
    <author>Juan Salazar</author>
  </authors>
  <commentList>
    <comment ref="D10" authorId="0" shapeId="0" xr:uid="{E8CA52E9-490A-491F-A8B8-27CC3418C5FB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4 DIAS  X 2 LIBRE</t>
        </r>
      </text>
    </comment>
    <comment ref="L13" authorId="0" shapeId="0" xr:uid="{266070F9-89CD-4D7E-B251-93140CDBE870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AGENTE ENCARGADO</t>
        </r>
      </text>
    </comment>
    <comment ref="M13" authorId="0" shapeId="0" xr:uid="{3941B34C-318E-4F19-98AE-1C926D78A500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AGENTE ENCARGADO</t>
        </r>
      </text>
    </comment>
    <comment ref="T13" authorId="0" shapeId="0" xr:uid="{C346E6BD-02C2-4436-AF4C-356DCF87AED8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AGENTE ENCARGADO</t>
        </r>
      </text>
    </comment>
    <comment ref="U13" authorId="0" shapeId="0" xr:uid="{35884262-73E3-48F9-A422-AFC79A224A5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AGENTE ENCARGADO</t>
        </r>
      </text>
    </comment>
    <comment ref="AB13" authorId="0" shapeId="0" xr:uid="{603A1594-A079-4537-B095-8CC7935E0A7E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AGENTE ENCARGADO</t>
        </r>
      </text>
    </comment>
    <comment ref="AC13" authorId="0" shapeId="0" xr:uid="{63F2CF33-E5EA-45F5-B8A5-0656FB47F53F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AGENTE ENCARGADO</t>
        </r>
      </text>
    </comment>
    <comment ref="AJ13" authorId="0" shapeId="0" xr:uid="{112AB76C-E9EE-456D-8AD9-AD9FCD9F5BF8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AGENTE ENCARGADO</t>
        </r>
      </text>
    </comment>
    <comment ref="AK13" authorId="0" shapeId="0" xr:uid="{16198778-31C5-4213-8DFF-27D9C76536D4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AGENTE ENCARGADO</t>
        </r>
      </text>
    </comment>
    <comment ref="L17" authorId="0" shapeId="0" xr:uid="{20D384E7-E104-46F9-87F7-B7B1EF585AE1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INFORMACION</t>
        </r>
      </text>
    </comment>
    <comment ref="M17" authorId="0" shapeId="0" xr:uid="{ABFEB7A5-D2C6-4B34-9341-3710721A75A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INFORMACION</t>
        </r>
      </text>
    </comment>
    <comment ref="T17" authorId="0" shapeId="0" xr:uid="{85175870-D56E-40FA-A5CE-55195E50DCC3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INFORMACION</t>
        </r>
      </text>
    </comment>
    <comment ref="U17" authorId="0" shapeId="0" xr:uid="{365B5848-C2D2-4D46-9972-4B0A4390AF4C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INFORMACION</t>
        </r>
      </text>
    </comment>
    <comment ref="AB17" authorId="0" shapeId="0" xr:uid="{F41FDDAE-31CE-42ED-B236-DF14972558C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INFORMACION</t>
        </r>
      </text>
    </comment>
    <comment ref="AC17" authorId="0" shapeId="0" xr:uid="{DA530965-DF01-41A5-B07D-F7A7EAC20BA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INFORMACION</t>
        </r>
      </text>
    </comment>
    <comment ref="AJ17" authorId="0" shapeId="0" xr:uid="{932B1BB2-B2C8-4C54-90F1-94E0DACBDC4E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INFORMACION</t>
        </r>
      </text>
    </comment>
    <comment ref="AK17" authorId="0" shapeId="0" xr:uid="{DE323189-6E48-4E47-ABD0-722FEE67C31F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INFORMACION</t>
        </r>
      </text>
    </comment>
    <comment ref="G21" authorId="0" shapeId="0" xr:uid="{49DCB6E7-CEBB-4A49-8AEF-D725B88E9ADE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CUBREN 8H EN PARQUE PRINCIPAL </t>
        </r>
      </text>
    </comment>
    <comment ref="H21" authorId="0" shapeId="0" xr:uid="{7C4380D2-B9F6-4274-8CBC-E2CA83F3A5D6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CUBREN 8H EN PARQUE PRINCIPAL </t>
        </r>
      </text>
    </comment>
    <comment ref="K21" authorId="0" shapeId="0" xr:uid="{A5B08DC9-D99C-4E47-B529-F6D1D757965E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CUBREN 8H EN PARQUE PRINCIPAL </t>
        </r>
      </text>
    </comment>
    <comment ref="O21" authorId="0" shapeId="0" xr:uid="{B10E8FC5-83CD-4CD8-8AD3-9EA27EB2FD0A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CUBREN 8H EN PARQUE PRINCIPAL </t>
        </r>
      </text>
    </comment>
    <comment ref="P21" authorId="0" shapeId="0" xr:uid="{AE776EE6-43BC-4C3A-9FCF-958905687C46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CUBREN 8H EN PARQUE PRINCIPAL </t>
        </r>
      </text>
    </comment>
    <comment ref="S21" authorId="0" shapeId="0" xr:uid="{BAA527EC-536B-4F06-9F3E-E7D4468650AD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CUBREN 8H EN PARQUE PRINCIPAL </t>
        </r>
      </text>
    </comment>
    <comment ref="W21" authorId="0" shapeId="0" xr:uid="{45A85D44-FEEB-43EC-BB41-8470E5695F06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CUBREN 8H EN PARQUE PRINCIPAL </t>
        </r>
      </text>
    </comment>
    <comment ref="X21" authorId="0" shapeId="0" xr:uid="{A38F6E5D-CB2B-4826-BE33-99BC1C91D3D2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CUBREN 8H EN PARQUE PRINCIPAL </t>
        </r>
      </text>
    </comment>
    <comment ref="AA21" authorId="0" shapeId="0" xr:uid="{52E05474-0D71-45C3-9EAF-CA02E870CA75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CUBREN 8H EN PARQUE PRINCIPAL </t>
        </r>
      </text>
    </comment>
    <comment ref="AE21" authorId="0" shapeId="0" xr:uid="{A3880696-4B51-48C2-B46A-7E01ED3953CD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CUBREN 8H EN PARQUE PRINCIPAL </t>
        </r>
      </text>
    </comment>
    <comment ref="AF21" authorId="0" shapeId="0" xr:uid="{53097E6F-C04E-4FC0-ACA9-0BEF330677BF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CUBREN 8H EN PARQUE PRINCIPAL </t>
        </r>
      </text>
    </comment>
    <comment ref="AI21" authorId="0" shapeId="0" xr:uid="{A3870CE5-ADEC-43EF-A8C0-0704A8F4785F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CUBREN 8H EN PARQUE PRINCIPAL </t>
        </r>
      </text>
    </comment>
    <comment ref="L22" authorId="0" shapeId="0" xr:uid="{BE97E952-87B8-44BE-B9AE-2718F2099339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INFORMACION</t>
        </r>
      </text>
    </comment>
    <comment ref="M22" authorId="0" shapeId="0" xr:uid="{1F22EA14-B4FA-4483-88EF-DD4A5AEDD8F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INFORMACION</t>
        </r>
      </text>
    </comment>
    <comment ref="T22" authorId="0" shapeId="0" xr:uid="{A1C82A80-DC26-4952-89A8-23DA2252865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INFORMACION</t>
        </r>
      </text>
    </comment>
    <comment ref="U22" authorId="0" shapeId="0" xr:uid="{68CC0303-67DB-4815-9584-8F712C88F04B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INFORMACION</t>
        </r>
      </text>
    </comment>
    <comment ref="AB22" authorId="0" shapeId="0" xr:uid="{7C58B601-4977-493D-AD6F-0773EE067E0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INFORMACION</t>
        </r>
      </text>
    </comment>
    <comment ref="AC22" authorId="0" shapeId="0" xr:uid="{083915B0-D737-4C26-81E3-974DFB5964BE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INFORMACION</t>
        </r>
      </text>
    </comment>
    <comment ref="AJ22" authorId="0" shapeId="0" xr:uid="{DC41BE30-E96E-4FA8-8437-EC6E9BD1926E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INFORMACION</t>
        </r>
      </text>
    </comment>
    <comment ref="AK22" authorId="0" shapeId="0" xr:uid="{510FA9AA-B633-4D6C-BE5A-C6C795274287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INFORMACION</t>
        </r>
      </text>
    </comment>
    <comment ref="L26" authorId="0" shapeId="0" xr:uid="{648C23DD-5A12-404A-B189-3F60A7CD799E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AGENTE ENCARGADO</t>
        </r>
      </text>
    </comment>
    <comment ref="M26" authorId="0" shapeId="0" xr:uid="{F1C08BFE-4BC6-4C45-B7A1-31180AA93514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AGENTE ENCARGADO</t>
        </r>
      </text>
    </comment>
    <comment ref="T26" authorId="0" shapeId="0" xr:uid="{A34A5FC7-6619-46D3-A445-5B1B980E5FA3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AGENTE ENCARGADO</t>
        </r>
      </text>
    </comment>
    <comment ref="U26" authorId="0" shapeId="0" xr:uid="{BA775BF5-2C14-4EA3-BD13-F3342ACB2C83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AGENTE ENCARGADO</t>
        </r>
      </text>
    </comment>
    <comment ref="AB26" authorId="0" shapeId="0" xr:uid="{53364D48-C9A4-4C7F-A182-0D0B5CC20239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AGENTE ENCARGADO</t>
        </r>
      </text>
    </comment>
    <comment ref="AC26" authorId="0" shapeId="0" xr:uid="{A8C566E8-6A3F-4C13-A5E8-CBB6FFCC813F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AGENTE ENCARGADO</t>
        </r>
      </text>
    </comment>
    <comment ref="AJ26" authorId="0" shapeId="0" xr:uid="{D2645B3E-8E3D-4F0A-8B57-3C01A1B18404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AGENTE ENCARGADO</t>
        </r>
      </text>
    </comment>
    <comment ref="AK26" authorId="0" shapeId="0" xr:uid="{3A7F356E-526F-4035-BD6C-B3718621670E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CUBRE AGENTE ENCARGADO</t>
        </r>
      </text>
    </comment>
    <comment ref="D30" authorId="0" shapeId="0" xr:uid="{5144FD08-DFEE-4F08-8CB3-5FFBE013B83A}">
      <text>
        <r>
          <rPr>
            <b/>
            <sz val="9"/>
            <color indexed="81"/>
            <rFont val="Tahoma"/>
            <family val="2"/>
          </rPr>
          <t>OPS GYE:</t>
        </r>
        <r>
          <rPr>
            <sz val="9"/>
            <color indexed="81"/>
            <rFont val="Tahoma"/>
            <family val="2"/>
          </rPr>
          <t xml:space="preserve">
 INICO  17 DE OCTUBRE 2025</t>
        </r>
      </text>
    </comment>
    <comment ref="M30" authorId="1" shapeId="0" xr:uid="{577A57F7-8211-4708-B854-1713C57C65FB}">
      <text>
        <r>
          <rPr>
            <b/>
            <sz val="9"/>
            <color indexed="81"/>
            <rFont val="Tahoma"/>
            <family val="2"/>
          </rPr>
          <t>TURNO A CUBRIR EN PARQUEO PLUMA</t>
        </r>
      </text>
    </comment>
    <comment ref="U30" authorId="1" shapeId="0" xr:uid="{0DAE4B4A-1173-4C18-A60B-8915E80FA806}">
      <text>
        <r>
          <rPr>
            <b/>
            <sz val="9"/>
            <color indexed="81"/>
            <rFont val="Tahoma"/>
            <family val="2"/>
          </rPr>
          <t>TURNO A CUBRIR EN PARQUEO PLUMA</t>
        </r>
      </text>
    </comment>
    <comment ref="AC30" authorId="1" shapeId="0" xr:uid="{D534E854-EEED-439D-9851-F670D6EF5D1D}">
      <text>
        <r>
          <rPr>
            <b/>
            <sz val="9"/>
            <color indexed="81"/>
            <rFont val="Tahoma"/>
            <family val="2"/>
          </rPr>
          <t>TURNO A CUBRIR EN PARQUEO PLUMA</t>
        </r>
      </text>
    </comment>
    <comment ref="AK30" authorId="1" shapeId="0" xr:uid="{CC52059A-7B17-4919-A6B5-08926C547A37}">
      <text>
        <r>
          <rPr>
            <b/>
            <sz val="9"/>
            <color indexed="81"/>
            <rFont val="Tahoma"/>
            <family val="2"/>
          </rPr>
          <t>TURNO A CUBRIR EN PARQUEO PLUMA</t>
        </r>
      </text>
    </comment>
    <comment ref="L37" authorId="0" shapeId="0" xr:uid="{DB8C89A3-4E78-41CD-9324-6D26DA999759}">
      <text>
        <r>
          <rPr>
            <sz val="9"/>
            <color indexed="81"/>
            <rFont val="Tahoma"/>
            <family val="2"/>
          </rPr>
          <t>PARQUEO PLUMA</t>
        </r>
      </text>
    </comment>
    <comment ref="T37" authorId="0" shapeId="0" xr:uid="{B9B92A7E-48F9-4FA8-B53D-AC5D180D435C}">
      <text>
        <r>
          <rPr>
            <sz val="9"/>
            <color indexed="81"/>
            <rFont val="Tahoma"/>
            <family val="2"/>
          </rPr>
          <t>PARQUEO PLUMA</t>
        </r>
      </text>
    </comment>
    <comment ref="AB37" authorId="0" shapeId="0" xr:uid="{C4AEDAA0-9C56-4332-B398-E3B439F536DA}">
      <text>
        <r>
          <rPr>
            <sz val="9"/>
            <color indexed="81"/>
            <rFont val="Tahoma"/>
            <family val="2"/>
          </rPr>
          <t>PARQUEO PLUMA</t>
        </r>
      </text>
    </comment>
    <comment ref="AJ37" authorId="0" shapeId="0" xr:uid="{8339C300-9C4F-4CB4-8283-585E232A80B6}">
      <text>
        <r>
          <rPr>
            <sz val="9"/>
            <color indexed="81"/>
            <rFont val="Tahoma"/>
            <family val="2"/>
          </rPr>
          <t>PARQUEO PLUMA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CENTRO DE CONTROL</author>
  </authors>
  <commentList>
    <comment ref="J12" authorId="0" shapeId="0" xr:uid="{BC4F84BB-5022-4127-9760-99F1742B72CF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TURNO DIURNO EN MAPFRE</t>
        </r>
      </text>
    </comment>
    <comment ref="K12" authorId="0" shapeId="0" xr:uid="{544BFA60-16DA-4A85-A8A3-732D434C6534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TURNO DIURNO EN MAPFRE</t>
        </r>
      </text>
    </comment>
    <comment ref="R12" authorId="0" shapeId="0" xr:uid="{60753052-61EE-4C30-83C2-F154972C601B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TURNO DIURNO EN MAPFRE</t>
        </r>
      </text>
    </comment>
    <comment ref="S12" authorId="0" shapeId="0" xr:uid="{D18E752D-164E-4124-B5F6-5B2BFDF77B81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TURNO DIURNO EN MAPFRE</t>
        </r>
      </text>
    </comment>
    <comment ref="Z12" authorId="0" shapeId="0" xr:uid="{B35DEDC9-2835-4D5A-8D05-BA0F92751708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TURNO DIURNO EN MAPFRE</t>
        </r>
      </text>
    </comment>
    <comment ref="AA12" authorId="0" shapeId="0" xr:uid="{CFE4C05E-CD83-4381-BB95-282ED018DE7E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TURNO DIURNO EN MAPFRE</t>
        </r>
      </text>
    </comment>
    <comment ref="AH12" authorId="0" shapeId="0" xr:uid="{05ADB122-069E-4DB1-A9FA-0D66D761ED51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TURNO DIURNO EN MAPFRE</t>
        </r>
      </text>
    </comment>
    <comment ref="AI12" authorId="0" shapeId="0" xr:uid="{930A1765-43D8-478E-9FCB-745579D7D1E3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TURNO DIURNO EN MAPFRE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Aguilar</author>
    <author>CENTRO DE CONTROL</author>
  </authors>
  <commentList>
    <comment ref="D16" authorId="0" shapeId="0" xr:uid="{4B5E61C6-C09F-4952-B849-A0C76A48C850}">
      <text>
        <r>
          <rPr>
            <b/>
            <sz val="9"/>
            <color indexed="81"/>
            <rFont val="Tahoma"/>
            <charset val="1"/>
          </rPr>
          <t>Johanna Aguilar: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16" authorId="0" shapeId="0" xr:uid="{AF012BE2-83BB-4B2D-B37F-325D6F3BF843}">
      <text>
        <r>
          <rPr>
            <b/>
            <sz val="9"/>
            <color indexed="81"/>
            <rFont val="Tahoma"/>
            <charset val="1"/>
          </rPr>
          <t>CAMBIA TURNO CON DAVE PINCAY POR SOLICITUD FLS DESDE EL 14-09-2026</t>
        </r>
      </text>
    </comment>
    <comment ref="D22" authorId="0" shapeId="0" xr:uid="{F65849DF-AF82-428D-91F2-401B751DD6F8}">
      <text>
        <r>
          <rPr>
            <b/>
            <sz val="9"/>
            <color indexed="81"/>
            <rFont val="Tahoma"/>
            <charset val="1"/>
          </rPr>
          <t>Johanna Aguilar: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E22" authorId="0" shapeId="0" xr:uid="{22DCE7C4-A177-426B-9C20-93D36E8D81A4}">
      <text>
        <r>
          <rPr>
            <b/>
            <sz val="9"/>
            <color indexed="81"/>
            <rFont val="Tahoma"/>
            <charset val="1"/>
          </rPr>
          <t>CAMBIA TURNO CON DAVE PINCAY POR SOLICITUD FLS DESDE EL 14-09-2026</t>
        </r>
      </text>
    </comment>
    <comment ref="K29" authorId="0" shapeId="0" xr:uid="{F9933F0D-780E-427A-9818-F8B9834BACAD}">
      <text>
        <r>
          <rPr>
            <b/>
            <sz val="9"/>
            <color indexed="81"/>
            <rFont val="Tahoma"/>
            <family val="2"/>
          </rPr>
          <t xml:space="preserve">GARZOCENTRO
</t>
        </r>
      </text>
    </comment>
    <comment ref="S29" authorId="0" shapeId="0" xr:uid="{05BB4CCE-C7AB-4A0F-950B-FF6FEA847560}">
      <text>
        <r>
          <rPr>
            <b/>
            <sz val="9"/>
            <color indexed="81"/>
            <rFont val="Tahoma"/>
            <family val="2"/>
          </rPr>
          <t xml:space="preserve">GARZOCENTRO
</t>
        </r>
      </text>
    </comment>
    <comment ref="AA29" authorId="0" shapeId="0" xr:uid="{CC1486BE-2395-4FE1-A3CC-BEB4BC219FE2}">
      <text>
        <r>
          <rPr>
            <b/>
            <sz val="9"/>
            <color indexed="81"/>
            <rFont val="Tahoma"/>
            <family val="2"/>
          </rPr>
          <t xml:space="preserve">GARZOCENTRO
</t>
        </r>
      </text>
    </comment>
    <comment ref="AI29" authorId="0" shapeId="0" xr:uid="{0CA5DC68-5458-4239-9643-731CA543CB52}">
      <text>
        <r>
          <rPr>
            <b/>
            <sz val="9"/>
            <color indexed="81"/>
            <rFont val="Tahoma"/>
            <family val="2"/>
          </rPr>
          <t xml:space="preserve">GARZOCENTRO
</t>
        </r>
      </text>
    </comment>
    <comment ref="L31" authorId="0" shapeId="0" xr:uid="{F13E4CE1-72B5-4478-88D3-EB07D14F227E}">
      <text>
        <r>
          <rPr>
            <b/>
            <sz val="9"/>
            <color indexed="81"/>
            <rFont val="Tahoma"/>
            <family val="2"/>
          </rPr>
          <t xml:space="preserve">GARZOCENTRO
</t>
        </r>
      </text>
    </comment>
    <comment ref="T31" authorId="0" shapeId="0" xr:uid="{811FF896-AF6D-4146-B45D-F948142FE935}">
      <text>
        <r>
          <rPr>
            <b/>
            <sz val="9"/>
            <color indexed="81"/>
            <rFont val="Tahoma"/>
            <family val="2"/>
          </rPr>
          <t xml:space="preserve">GARZOCENTRO
</t>
        </r>
      </text>
    </comment>
    <comment ref="AB31" authorId="0" shapeId="0" xr:uid="{CBA29D4C-6427-4B27-A534-E2CCCFC1B917}">
      <text>
        <r>
          <rPr>
            <b/>
            <sz val="9"/>
            <color indexed="81"/>
            <rFont val="Tahoma"/>
            <family val="2"/>
          </rPr>
          <t xml:space="preserve">GARZOCENTRO
</t>
        </r>
      </text>
    </comment>
    <comment ref="AJ31" authorId="0" shapeId="0" xr:uid="{974219D6-860F-4355-BAB2-4BBD7823FE29}">
      <text>
        <r>
          <rPr>
            <b/>
            <sz val="9"/>
            <color indexed="81"/>
            <rFont val="Tahoma"/>
            <family val="2"/>
          </rPr>
          <t xml:space="preserve">GARZOCENTRO
</t>
        </r>
      </text>
    </comment>
    <comment ref="L38" authorId="0" shapeId="0" xr:uid="{BFE878FA-172A-4252-B15D-0500AFD26E62}">
      <text>
        <r>
          <rPr>
            <b/>
            <sz val="9"/>
            <color indexed="81"/>
            <rFont val="Tahoma"/>
            <family val="2"/>
          </rPr>
          <t>MOTORIZADO</t>
        </r>
      </text>
    </comment>
    <comment ref="T38" authorId="0" shapeId="0" xr:uid="{F59D1932-7C77-440C-81E5-5AA24AF406F9}">
      <text>
        <r>
          <rPr>
            <b/>
            <sz val="9"/>
            <color indexed="81"/>
            <rFont val="Tahoma"/>
            <family val="2"/>
          </rPr>
          <t>MOTORIZADO</t>
        </r>
      </text>
    </comment>
    <comment ref="AB38" authorId="0" shapeId="0" xr:uid="{2687E012-7DAA-40A8-A646-C1B85AF828B9}">
      <text>
        <r>
          <rPr>
            <b/>
            <sz val="9"/>
            <color indexed="81"/>
            <rFont val="Tahoma"/>
            <family val="2"/>
          </rPr>
          <t>MOTORIZADO</t>
        </r>
      </text>
    </comment>
    <comment ref="AJ38" authorId="0" shapeId="0" xr:uid="{57CBE52C-090C-4471-A813-7C21CE66E335}">
      <text>
        <r>
          <rPr>
            <b/>
            <sz val="9"/>
            <color indexed="81"/>
            <rFont val="Tahoma"/>
            <family val="2"/>
          </rPr>
          <t>MOTORIZADO</t>
        </r>
      </text>
    </comment>
    <comment ref="F46" authorId="1" shapeId="0" xr:uid="{CDB01212-C9BC-4983-B4BB-1CB96E351AB9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CURE EN EL INC</t>
        </r>
      </text>
    </comment>
    <comment ref="N46" authorId="1" shapeId="0" xr:uid="{551C1DC7-2261-4B21-8DB5-95769E2A4207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CURE EN EL INC</t>
        </r>
      </text>
    </comment>
    <comment ref="V46" authorId="1" shapeId="0" xr:uid="{CC666E8C-2688-48D9-8D50-20DD354154C6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CURE EN EL INC</t>
        </r>
      </text>
    </comment>
    <comment ref="AD46" authorId="1" shapeId="0" xr:uid="{96EFECB9-C778-410C-8549-84C0CADAF82C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CURE EN EL INC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CENTRO DE CONTROL</author>
  </authors>
  <commentList>
    <comment ref="J13" authorId="0" shapeId="0" xr:uid="{3E10E917-28DA-4EBD-B1CA-39326DA7B221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SE ACTIVA PARA ALGUNA LOCALIDAD PASAR HORAS EXTRAS</t>
        </r>
      </text>
    </comment>
    <comment ref="Q13" authorId="0" shapeId="0" xr:uid="{40822BCC-44EF-4BED-909C-7B4CDD8E3346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SE ACTIVA PARA ALGUNA LOCALIDAD PASAR HORAS EXTRAS</t>
        </r>
      </text>
    </comment>
    <comment ref="X13" authorId="0" shapeId="0" xr:uid="{8A7AB1AC-EE60-4EAC-A423-5A0F797B9A8A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SE ACTIVA PARA ALGUNA LOCALIDAD PASAR HORAS EXTRAS</t>
        </r>
      </text>
    </comment>
    <comment ref="AE13" authorId="0" shapeId="0" xr:uid="{70D9A886-D2F3-4FF0-8820-89FEDC0723B5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SE ACTIVA PARA ALGUNA LOCALIDAD PASAR HORAS EXTRAS</t>
        </r>
      </text>
    </comment>
    <comment ref="AL13" authorId="0" shapeId="0" xr:uid="{9CDAF98B-68D8-4782-9256-C1EBB0EE565D}">
      <text>
        <r>
          <rPr>
            <b/>
            <sz val="9"/>
            <color indexed="81"/>
            <rFont val="Tahoma"/>
            <family val="2"/>
          </rPr>
          <t>CENTRO DE CONTROL:</t>
        </r>
        <r>
          <rPr>
            <sz val="9"/>
            <color indexed="81"/>
            <rFont val="Tahoma"/>
            <family val="2"/>
          </rPr>
          <t xml:space="preserve">
SE ACTIVA PARA ALGUNA LOCALIDAD PASAR HORAS EXTRAS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</futureMetadata>
  <valueMetadata count="14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</valueMetadata>
</metadata>
</file>

<file path=xl/sharedStrings.xml><?xml version="1.0" encoding="utf-8"?>
<sst xmlns="http://schemas.openxmlformats.org/spreadsheetml/2006/main" count="10608" uniqueCount="902">
  <si>
    <t>LUNES A DOMINGO</t>
  </si>
  <si>
    <t>LUNES A VIERNES</t>
  </si>
  <si>
    <t xml:space="preserve">LUNES A VIERNES 06H </t>
  </si>
  <si>
    <t>LUNES A SABADO</t>
  </si>
  <si>
    <t xml:space="preserve">LUNES A VIERNES </t>
  </si>
  <si>
    <t xml:space="preserve">PUESTOS </t>
  </si>
  <si>
    <t>24H (L-D)</t>
  </si>
  <si>
    <t>12H(D)L-D</t>
  </si>
  <si>
    <t>12H (N) L-D</t>
  </si>
  <si>
    <t>12H (D) L-V</t>
  </si>
  <si>
    <t>SABADO yDOMINGO 10H</t>
  </si>
  <si>
    <t>12H (D) L-S</t>
  </si>
  <si>
    <t>12H (L-V) Y 6H (S)</t>
  </si>
  <si>
    <t>10H (L-V)</t>
  </si>
  <si>
    <t>8H (L-D)</t>
  </si>
  <si>
    <t xml:space="preserve">CC. PLAZA CEIBOS </t>
  </si>
  <si>
    <t>EDIFICIO CARLOS J. AROSEMENA</t>
  </si>
  <si>
    <t xml:space="preserve">CC. LAS AMÉRICAS </t>
  </si>
  <si>
    <t xml:space="preserve">CC. NEGOCIOS EL TERMINAL </t>
  </si>
  <si>
    <t xml:space="preserve">PANTEÓN METROPOLITANO </t>
  </si>
  <si>
    <t xml:space="preserve">CENTRO RECREACIONAL SUR </t>
  </si>
  <si>
    <t>U.E. SANTA LUISA MARILLAC</t>
  </si>
  <si>
    <t>ASILO BIEN PÚBLICO</t>
  </si>
  <si>
    <t>U.E. SANTO DOMINGO SANTISTEBAN</t>
  </si>
  <si>
    <t>HOGAR CORAZÓN DE JESÚS</t>
  </si>
  <si>
    <t>HOSPITAL ALFREDO PAULSON</t>
  </si>
  <si>
    <t>INSTITUTO NEUROCIENCIA</t>
  </si>
  <si>
    <t>HOSPITAL ROBERTO GILBERT</t>
  </si>
  <si>
    <t>HOSPITAL LUIS VERNAZA</t>
  </si>
  <si>
    <t>EDIFICIO AROSEMENA OFC</t>
  </si>
  <si>
    <t xml:space="preserve">EDIFICIO JOSE MARÍA SAENZ </t>
  </si>
  <si>
    <t xml:space="preserve">CEMENTERIO PATRIMONIAL </t>
  </si>
  <si>
    <t>CC. GARZOCENTRO</t>
  </si>
  <si>
    <t>PLAZA ORELLANA</t>
  </si>
  <si>
    <t>COMPLEJO DEPORTIVO</t>
  </si>
  <si>
    <t>EXPOMEDIOS</t>
  </si>
  <si>
    <t>REGIONAL NOBOL - NARCISA DE JESUS</t>
  </si>
  <si>
    <t xml:space="preserve">REGIONAL PLAYAS- Freire Stabile </t>
  </si>
  <si>
    <t>17 PUESTO 12HX1.25</t>
  </si>
  <si>
    <t>5 PUESTO   08HX1.25</t>
  </si>
  <si>
    <t>1 PUESTO L-V 6H /S y D 10H X 1.25</t>
  </si>
  <si>
    <t xml:space="preserve">TOTAL EN NOMINA </t>
  </si>
  <si>
    <t xml:space="preserve">CANTIDAD </t>
  </si>
  <si>
    <t>OFICINA CENTRAL</t>
  </si>
  <si>
    <t>ASILO BIEN PUBLICO</t>
  </si>
  <si>
    <t>NEUROCIENCIAS</t>
  </si>
  <si>
    <t>PANTEON METROPOLITANO</t>
  </si>
  <si>
    <t>NOBOL</t>
  </si>
  <si>
    <t>PLAYAS</t>
  </si>
  <si>
    <t>TIPO DE CONTRATO</t>
  </si>
  <si>
    <t>PUESTO CONTRATADO</t>
  </si>
  <si>
    <t xml:space="preserve">HORAS DE SERVICIO </t>
  </si>
  <si>
    <t xml:space="preserve">ÁREA </t>
  </si>
  <si>
    <t>CECO</t>
  </si>
  <si>
    <t>FIJO/ADICIONAL</t>
  </si>
  <si>
    <t>12 Horas Diurnas L-D</t>
  </si>
  <si>
    <t>FIJO</t>
  </si>
  <si>
    <t xml:space="preserve">12 Horas Diurnas L-V </t>
  </si>
  <si>
    <t>JBG LUSI VERNAZA</t>
  </si>
  <si>
    <t>8 horas diurnas L-D</t>
  </si>
  <si>
    <t>24 horas L-D</t>
  </si>
  <si>
    <t>JBG HOSP. PAULSON</t>
  </si>
  <si>
    <t>ADCIONAL</t>
  </si>
  <si>
    <t>24 horas L-D (Hall principal) / 24 horas L-D (Emergencia)</t>
  </si>
  <si>
    <t>12 horas diurnas L-D /12 Diurnas horas de L-V</t>
  </si>
  <si>
    <t>JBG ROBERTO GILERT</t>
  </si>
  <si>
    <t xml:space="preserve">12 horas diurnas L-D / 12 horas diurnas L-S </t>
  </si>
  <si>
    <t>12 horas diurnas L-D</t>
  </si>
  <si>
    <t>JBG SANTISTEVAN</t>
  </si>
  <si>
    <t>12H NOCTURNO L-D</t>
  </si>
  <si>
    <t>JBG COND. AROSEMENA</t>
  </si>
  <si>
    <t>JBG ASILO</t>
  </si>
  <si>
    <t>JBG NEUROCIENCIAS</t>
  </si>
  <si>
    <t>12 horas diurnas L-V (Consulta Externa)</t>
  </si>
  <si>
    <t>JBG CEM. GRAL.</t>
  </si>
  <si>
    <t xml:space="preserve">ADICIONAL </t>
  </si>
  <si>
    <t xml:space="preserve">06 horas diurnas L-V y 10 horas diurnas los S y D </t>
  </si>
  <si>
    <t>JBG CORAZON DE JESUS</t>
  </si>
  <si>
    <t>24H</t>
  </si>
  <si>
    <t>JBG PANTEON</t>
  </si>
  <si>
    <t>JBG RECREACIONAL SUR</t>
  </si>
  <si>
    <t>JBG LAS AMERICAS</t>
  </si>
  <si>
    <t>JBG GARZOCENTRO</t>
  </si>
  <si>
    <t>JBG LOS CEIBOS</t>
  </si>
  <si>
    <t>JBG CNT</t>
  </si>
  <si>
    <t xml:space="preserve">12 horas diurnas L-D </t>
  </si>
  <si>
    <t>JBG CIUDAD DEPORTIVA</t>
  </si>
  <si>
    <t>12 horas Nocturno L-D</t>
  </si>
  <si>
    <t>JBG EDIF. CENTRAL</t>
  </si>
  <si>
    <t>10 horas diurnas L-V</t>
  </si>
  <si>
    <t>JBG PLAZA ORELLANA</t>
  </si>
  <si>
    <t>8 horas nocturnas L-D</t>
  </si>
  <si>
    <t>JBG EDIF. SAENZ</t>
  </si>
  <si>
    <t>JBG MARILLAC</t>
  </si>
  <si>
    <t>JBG EXPOMEDIOS</t>
  </si>
  <si>
    <t>JBG PLAYAS</t>
  </si>
  <si>
    <t>JBG NOBOL</t>
  </si>
  <si>
    <t xml:space="preserve">HORARIO MENSUAL </t>
  </si>
  <si>
    <t>CODF: FOR-GOPF 006</t>
  </si>
  <si>
    <t>F. APROB: 01.10.14</t>
  </si>
  <si>
    <t>F. MODIF.:</t>
  </si>
  <si>
    <t>PROYECTO</t>
  </si>
  <si>
    <t xml:space="preserve">DÍAS </t>
  </si>
  <si>
    <t>L</t>
  </si>
  <si>
    <t>M</t>
  </si>
  <si>
    <t>J</t>
  </si>
  <si>
    <t>V</t>
  </si>
  <si>
    <t>S</t>
  </si>
  <si>
    <t>D</t>
  </si>
  <si>
    <t>Total Horas Semanales</t>
  </si>
  <si>
    <t>Total Horas 4 semanas</t>
  </si>
  <si>
    <t>Total Días laborados</t>
  </si>
  <si>
    <t>MES</t>
  </si>
  <si>
    <t xml:space="preserve">FECHA </t>
  </si>
  <si>
    <t xml:space="preserve">NOMBRES </t>
  </si>
  <si>
    <t>APELLIDOS</t>
  </si>
  <si>
    <t>N</t>
  </si>
  <si>
    <t>X</t>
  </si>
  <si>
    <t>LOPEZ TEJADA</t>
  </si>
  <si>
    <t>LIBRE</t>
  </si>
  <si>
    <t>ALVARO ENRIQUE</t>
  </si>
  <si>
    <t>YAGUAL LINDAO</t>
  </si>
  <si>
    <t>MARLON VICENTE</t>
  </si>
  <si>
    <t>LINDAO LINDAO</t>
  </si>
  <si>
    <t>JOSE LEONARDO</t>
  </si>
  <si>
    <t>FRANCO TRIANA</t>
  </si>
  <si>
    <t>Dotación</t>
  </si>
  <si>
    <t>Puestos</t>
  </si>
  <si>
    <t>H. ALFREDO PAULSON</t>
  </si>
  <si>
    <t xml:space="preserve">Total Horas Mensuales </t>
  </si>
  <si>
    <t xml:space="preserve">1 PUESTOS DIURNO DE 12 H L-D </t>
  </si>
  <si>
    <t>1 PUESTOS DIURNO DE 12 H L-V</t>
  </si>
  <si>
    <t xml:space="preserve">NOMENCLATURA </t>
  </si>
  <si>
    <t>TURNOS LABORAL</t>
  </si>
  <si>
    <t>19:00 - 07:00</t>
  </si>
  <si>
    <t>H. ROBERTO GILBERT</t>
  </si>
  <si>
    <t>6 PUESTOS DE 24 HORAS</t>
  </si>
  <si>
    <t>D1</t>
  </si>
  <si>
    <t>1P 12H L-D</t>
  </si>
  <si>
    <t>1P 12H L-S</t>
  </si>
  <si>
    <t>C</t>
  </si>
  <si>
    <t xml:space="preserve">RONDAS </t>
  </si>
  <si>
    <t>3 PUESTOS DE 24H</t>
  </si>
  <si>
    <t>CONTROL GARITA PRINCIPAL</t>
  </si>
  <si>
    <t>1P 12H L-V Y S 6H</t>
  </si>
  <si>
    <t>CONSULTA EXTERNA</t>
  </si>
  <si>
    <t>07:00 - 19:00 = 12H</t>
  </si>
  <si>
    <t>19:00 - 07:00 = 12H</t>
  </si>
  <si>
    <t>SANTISTEVAN</t>
  </si>
  <si>
    <t>INC</t>
  </si>
  <si>
    <t>H. LUIS VERNAZA</t>
  </si>
  <si>
    <t>GARITA # 1 INFORMACION</t>
  </si>
  <si>
    <t>INGRESO VEHICULAR</t>
  </si>
  <si>
    <t>INGRESO PEATONAL COLABORADORES</t>
  </si>
  <si>
    <t>RONDA GENERAL</t>
  </si>
  <si>
    <t xml:space="preserve">PUERTA PRINCIPAL  CLINICA SOTOMAYOR </t>
  </si>
  <si>
    <t xml:space="preserve">CADENA DE EMERGENCIA </t>
  </si>
  <si>
    <t xml:space="preserve">2 PUESTO 8H L-D </t>
  </si>
  <si>
    <t>INGRESO Y SALIDA  VEHICULAR CLINICA</t>
  </si>
  <si>
    <t>T</t>
  </si>
  <si>
    <t>12 H DIURNO (L-V)</t>
  </si>
  <si>
    <t>RO NDA GENERAL CONSULTA EXTERNA</t>
  </si>
  <si>
    <t>A</t>
  </si>
  <si>
    <t>19:00 - 7:00 = 12H</t>
  </si>
  <si>
    <t>CC. LAS AMERICAS</t>
  </si>
  <si>
    <t>T1</t>
  </si>
  <si>
    <t>ED. JOSE M. SAENZ</t>
  </si>
  <si>
    <t xml:space="preserve">1 PUESTO DE 12H DIURNO DE L-D </t>
  </si>
  <si>
    <t>Control de acceso</t>
  </si>
  <si>
    <t>1 PUESTO DE 24H L-D</t>
  </si>
  <si>
    <t>Control accesos Ascensor</t>
  </si>
  <si>
    <t>TEJADA SALTOS</t>
  </si>
  <si>
    <t>1P. 10H L-V DIURNO</t>
  </si>
  <si>
    <t>Ascensor privado</t>
  </si>
  <si>
    <t>SANCHEZ CANTOS</t>
  </si>
  <si>
    <t>CEMENTERIO GENERAL</t>
  </si>
  <si>
    <t xml:space="preserve">7 PUESTO DE 24H DE L-D </t>
  </si>
  <si>
    <t>Edificio ADM Sala de Velaciones</t>
  </si>
  <si>
    <t>Parqueo Sala de Velaciones</t>
  </si>
  <si>
    <t>Sala Oratoria</t>
  </si>
  <si>
    <t>Sala Exclusiva</t>
  </si>
  <si>
    <t>Sala Solidaria</t>
  </si>
  <si>
    <t>Sala Especial y Puerta #3</t>
  </si>
  <si>
    <t>Puerta# 8</t>
  </si>
  <si>
    <t>3 PUESTO DE 12H DIURNO L-D</t>
  </si>
  <si>
    <t>Puerta #1</t>
  </si>
  <si>
    <t>Puerta #6</t>
  </si>
  <si>
    <t>Puerta #10</t>
  </si>
  <si>
    <t xml:space="preserve"> 8H DIURNO   L-D </t>
  </si>
  <si>
    <t>Ronda</t>
  </si>
  <si>
    <t xml:space="preserve"> 12H NOCTURNO   L-D </t>
  </si>
  <si>
    <t>PUERTA #15</t>
  </si>
  <si>
    <t>D2</t>
  </si>
  <si>
    <t>1 PUESTO DE 24H DE L-D</t>
  </si>
  <si>
    <t xml:space="preserve">GARITA </t>
  </si>
  <si>
    <t>HOGAR CORAZON JESUS</t>
  </si>
  <si>
    <t>CENTRO RECREACIONAL</t>
  </si>
  <si>
    <t>PONCE PARRALES</t>
  </si>
  <si>
    <t>HOGAR CALDERON AYLUARDO</t>
  </si>
  <si>
    <t>1 P 12 H NOCTURNO L-D</t>
  </si>
  <si>
    <t>MARILLAC</t>
  </si>
  <si>
    <t>1 PUES 12 H DIURNO L-D</t>
  </si>
  <si>
    <t>7:00 - 19:00</t>
  </si>
  <si>
    <t>LA ROCA</t>
  </si>
  <si>
    <t>U.E DURAN</t>
  </si>
  <si>
    <t>U.E NARANJAL</t>
  </si>
  <si>
    <t>12H  (L-V) 5,5H (S)</t>
  </si>
  <si>
    <t xml:space="preserve">JBGYE INSTALACIONES </t>
  </si>
  <si>
    <t>HORAS OTROS CLIENTES</t>
  </si>
  <si>
    <t>DOTACION PERSONAL</t>
  </si>
  <si>
    <t xml:space="preserve">AREA </t>
  </si>
  <si>
    <t>HORAS ASIGNADAS SEMANALMENTE</t>
  </si>
  <si>
    <t>CARGO</t>
  </si>
  <si>
    <t xml:space="preserve">MODALIDAD </t>
  </si>
  <si>
    <t>TURNO</t>
  </si>
  <si>
    <t xml:space="preserve">DIAS </t>
  </si>
  <si>
    <t xml:space="preserve">HORAS SEMANALES </t>
  </si>
  <si>
    <t>CLIENTES</t>
  </si>
  <si>
    <t>TIPO DE SERVICIO</t>
  </si>
  <si>
    <t>72/60/72/60</t>
  </si>
  <si>
    <t xml:space="preserve">GUARDIA </t>
  </si>
  <si>
    <t>FULL TIME</t>
  </si>
  <si>
    <t>12 horas nocturno L-D</t>
  </si>
  <si>
    <t>MARISCO FRESH</t>
  </si>
  <si>
    <t>TOTAL</t>
  </si>
  <si>
    <t>27 INSTALACIONES</t>
  </si>
  <si>
    <t>1 PUESTO 12H L-V/S 5,5H</t>
  </si>
  <si>
    <t>65/77/65/77</t>
  </si>
  <si>
    <t xml:space="preserve">U.E NARANJAL </t>
  </si>
  <si>
    <t>U. E DURAN</t>
  </si>
  <si>
    <t>U.E DURAN EMAUS</t>
  </si>
  <si>
    <t>12 horas L-V / 5,5 H los  S</t>
  </si>
  <si>
    <t>24 horas nocturnas L-D</t>
  </si>
  <si>
    <t>JBG MERCEDEZ CALDERON</t>
  </si>
  <si>
    <t>JBG ASILO / JBGYE MARILLAC</t>
  </si>
  <si>
    <t>1 PUESTO  10H X 1.25</t>
  </si>
  <si>
    <t xml:space="preserve">TERRENO LA ROCA </t>
  </si>
  <si>
    <t xml:space="preserve">JBG TERRENO LA ROCA </t>
  </si>
  <si>
    <t>5 PUESTO DE 24H L-D</t>
  </si>
  <si>
    <t>ROCA</t>
  </si>
  <si>
    <t>3 PUESTO DE 24H DE L-D</t>
  </si>
  <si>
    <t>TERRENO LA ROCA</t>
  </si>
  <si>
    <t xml:space="preserve"> U,E MERCEDES CALDERON AYLUARDO</t>
  </si>
  <si>
    <t>1 PUESTO 12H L-D</t>
  </si>
  <si>
    <t>CANTIDAD</t>
  </si>
  <si>
    <t>PUESTOS</t>
  </si>
  <si>
    <t>24 HORAS L-D</t>
  </si>
  <si>
    <t>GARITA PRINCIPAL 1</t>
  </si>
  <si>
    <t>GARTA # 2</t>
  </si>
  <si>
    <t>1P DE 10 H L - V</t>
  </si>
  <si>
    <t>B</t>
  </si>
  <si>
    <t>PDS-LOTERIA</t>
  </si>
  <si>
    <t>10H L-V/  8H S</t>
  </si>
  <si>
    <t>PORTETE</t>
  </si>
  <si>
    <t xml:space="preserve">11,5H L-V / 10,5H S </t>
  </si>
  <si>
    <t>ALBOTEC</t>
  </si>
  <si>
    <t xml:space="preserve">12,5H L-S </t>
  </si>
  <si>
    <t>09 DE OCTUBRE BOULEVART</t>
  </si>
  <si>
    <t>10,5H L-V  / 8,5H S</t>
  </si>
  <si>
    <t xml:space="preserve">BOYACA </t>
  </si>
  <si>
    <t>PLAZA DE LA SUERTE</t>
  </si>
  <si>
    <t>Z</t>
  </si>
  <si>
    <t>12,5H L-V / 11,5H S</t>
  </si>
  <si>
    <t>09 DE OCTUBRE 427</t>
  </si>
  <si>
    <t>BDS-MACHALA</t>
  </si>
  <si>
    <t>REQUERIMIENTO</t>
  </si>
  <si>
    <t>BDS - MACHALA</t>
  </si>
  <si>
    <t>MUÑOZ SALTOS</t>
  </si>
  <si>
    <t>P</t>
  </si>
  <si>
    <t>07H00-17H00  (10H)</t>
  </si>
  <si>
    <t>08H00-18H00 (10H)</t>
  </si>
  <si>
    <t>07H30-19H00 (11.5H)</t>
  </si>
  <si>
    <t xml:space="preserve"> 07H30-17H30 (10 H)</t>
  </si>
  <si>
    <t xml:space="preserve"> 07H30-20H00 (12.5H)</t>
  </si>
  <si>
    <t>08H00-15H00 (7 H)</t>
  </si>
  <si>
    <t>10H00 - 22H00 (12H)</t>
  </si>
  <si>
    <t xml:space="preserve"> (4 H) </t>
  </si>
  <si>
    <t xml:space="preserve">08H00 - 19H00 (11 H) </t>
  </si>
  <si>
    <t>GARZOCENTRO</t>
  </si>
  <si>
    <t xml:space="preserve">5 PUESTO DE 24H  L-D </t>
  </si>
  <si>
    <t>ALA NORTE</t>
  </si>
  <si>
    <t xml:space="preserve">ALA SUR </t>
  </si>
  <si>
    <t>ALA CENTRO</t>
  </si>
  <si>
    <t>PATIO COMIDAS</t>
  </si>
  <si>
    <t>RONDAS</t>
  </si>
  <si>
    <t>CC. PLAZA CEIBOS</t>
  </si>
  <si>
    <t>DIAS</t>
  </si>
  <si>
    <t>1 PUESTO 24 HORAS L-D</t>
  </si>
  <si>
    <t>INSTALACION</t>
  </si>
  <si>
    <t>LUIS ARTURO</t>
  </si>
  <si>
    <t>CC. TERMINAL</t>
  </si>
  <si>
    <t>GALARZA</t>
  </si>
  <si>
    <t>TERRENO VALDÍO</t>
  </si>
  <si>
    <t>CC. PLAZA ORELLANA</t>
  </si>
  <si>
    <t xml:space="preserve">1 PUESTO DE 24H DE L-D </t>
  </si>
  <si>
    <t>PARQUEADERO ACCESO</t>
  </si>
  <si>
    <t>1 PUESTO DE 8 HORAS DIUENO</t>
  </si>
  <si>
    <t>RONDAS N</t>
  </si>
  <si>
    <t>PUESTO DE 12H</t>
  </si>
  <si>
    <t>CIUDAD DEPORTIVA</t>
  </si>
  <si>
    <t>GARITA</t>
  </si>
  <si>
    <t>3 PUESTO DE 24H L-D</t>
  </si>
  <si>
    <t xml:space="preserve">CONDOMINIO </t>
  </si>
  <si>
    <t>1 PUESTO 12H L-D NOCTURNO</t>
  </si>
  <si>
    <t>CONDOMINIO</t>
  </si>
  <si>
    <t>1 PUESTO 24H L-D</t>
  </si>
  <si>
    <t>1 P  DE 12H L-D NOCTURNO</t>
  </si>
  <si>
    <t xml:space="preserve">1 PUESTO 24H </t>
  </si>
  <si>
    <t>LOTERIA MATRIZ</t>
  </si>
  <si>
    <t>NARANJAL</t>
  </si>
  <si>
    <t>LUIS GUSTAVO</t>
  </si>
  <si>
    <t>NIVELO ALFONSO</t>
  </si>
  <si>
    <t>DANIEL FRANCLIN</t>
  </si>
  <si>
    <t xml:space="preserve">BURGOS GARCIA </t>
  </si>
  <si>
    <t>DURAN</t>
  </si>
  <si>
    <t>HORARIO</t>
  </si>
  <si>
    <t>HAP</t>
  </si>
  <si>
    <t>HRG</t>
  </si>
  <si>
    <t>5D12H-1D6H</t>
  </si>
  <si>
    <t>HLV</t>
  </si>
  <si>
    <t>5D8H</t>
  </si>
  <si>
    <t>5D12H</t>
  </si>
  <si>
    <t>OFC</t>
  </si>
  <si>
    <t>5D10H</t>
  </si>
  <si>
    <t>EDIFCIO SAENZ</t>
  </si>
  <si>
    <t>6D12H</t>
  </si>
  <si>
    <t>CEMENTERIO</t>
  </si>
  <si>
    <t>6D8H</t>
  </si>
  <si>
    <t>5D6H-1D10H</t>
  </si>
  <si>
    <t>HCJ</t>
  </si>
  <si>
    <t>PANTEON</t>
  </si>
  <si>
    <t>HOGAR AYLUARDO</t>
  </si>
  <si>
    <t>RECREACIONAL</t>
  </si>
  <si>
    <t>ASILO/MARILLAC</t>
  </si>
  <si>
    <t>TERMINAL</t>
  </si>
  <si>
    <t>PLAZA CEIBOS</t>
  </si>
  <si>
    <t>C.C AMERICA</t>
  </si>
  <si>
    <t>60/72/60/72</t>
  </si>
  <si>
    <t>4D12H-1D6H-1D8H</t>
  </si>
  <si>
    <t>BDS MACHALA</t>
  </si>
  <si>
    <t>2D12H</t>
  </si>
  <si>
    <t xml:space="preserve">4D12H </t>
  </si>
  <si>
    <t>|</t>
  </si>
  <si>
    <t>1 PUESTO 13H L-V SyD 12H DIURNO</t>
  </si>
  <si>
    <t>JBG HOGAR CALDERON AYLUARDO</t>
  </si>
  <si>
    <t>66H</t>
  </si>
  <si>
    <t>5D12H -1D5,5</t>
  </si>
  <si>
    <t>21001</t>
  </si>
  <si>
    <t>GUARDIA</t>
  </si>
  <si>
    <t>LOTERIA PORTETE</t>
  </si>
  <si>
    <t>21010</t>
  </si>
  <si>
    <t>LOTERIA ALBOTEC</t>
  </si>
  <si>
    <t>21003</t>
  </si>
  <si>
    <t>LOTERIA 09 OCTU BOU</t>
  </si>
  <si>
    <t>21002</t>
  </si>
  <si>
    <t>LOTERIA BOYACA</t>
  </si>
  <si>
    <t>21004</t>
  </si>
  <si>
    <t>LOTERIA PLAZA SUERTE</t>
  </si>
  <si>
    <t>21009</t>
  </si>
  <si>
    <t>LOTERIA 9OCT -427</t>
  </si>
  <si>
    <t>21012</t>
  </si>
  <si>
    <t>21007</t>
  </si>
  <si>
    <t>PARTIME</t>
  </si>
  <si>
    <t>24 H</t>
  </si>
  <si>
    <t>10H L-V</t>
  </si>
  <si>
    <t>L-V 10H/ S 8H</t>
  </si>
  <si>
    <t>L-V 11.5H/ S 10.5H</t>
  </si>
  <si>
    <t>L-S 12.5H</t>
  </si>
  <si>
    <t>L-V 10.5H/S 8.5H</t>
  </si>
  <si>
    <t>L-V 12.5H/S 11.5H</t>
  </si>
  <si>
    <t>ADICIONAL</t>
  </si>
  <si>
    <t>1 P. LOS SABADOS / 7 H</t>
  </si>
  <si>
    <t>LOTERIA VELEZ</t>
  </si>
  <si>
    <t>L-D 12H DIURNO</t>
  </si>
  <si>
    <t xml:space="preserve">REQUERIMIENTO  CLIENTE LOTERIA </t>
  </si>
  <si>
    <t>07:00 - 17:00</t>
  </si>
  <si>
    <t xml:space="preserve">19:00 - 7:00 </t>
  </si>
  <si>
    <t xml:space="preserve">07:00 - 19:00 </t>
  </si>
  <si>
    <t>OFC - EDF SAENZ</t>
  </si>
  <si>
    <t xml:space="preserve">19:00 - 07:00 </t>
  </si>
  <si>
    <t>CHAM</t>
  </si>
  <si>
    <t>07:00 - 13:00 = 06H</t>
  </si>
  <si>
    <t>15:00 - 23:00</t>
  </si>
  <si>
    <t xml:space="preserve">07:00 - 15 00 </t>
  </si>
  <si>
    <t>6 PUESTO DE 24H L-D</t>
  </si>
  <si>
    <t>1 PUESTO 24H</t>
  </si>
  <si>
    <t>U.E TRIUNFO</t>
  </si>
  <si>
    <t>52 PUESTO 24H</t>
  </si>
  <si>
    <t>10H (L-S)</t>
  </si>
  <si>
    <t>1 PUESTO L-S  10H X 1.25</t>
  </si>
  <si>
    <t>10 horas diurnas L-S</t>
  </si>
  <si>
    <t>JBG LUIS VERNAZA</t>
  </si>
  <si>
    <t>CESAR ALFREDO</t>
  </si>
  <si>
    <t xml:space="preserve"> CUNALATA CABRERA</t>
  </si>
  <si>
    <t xml:space="preserve">CESAR XAVIER </t>
  </si>
  <si>
    <t xml:space="preserve">CORDOVA CEVICHAY </t>
  </si>
  <si>
    <t>JHON GABRIEL</t>
  </si>
  <si>
    <t>VILLAMAR VELIZ</t>
  </si>
  <si>
    <t xml:space="preserve">CARLOS EDUARDO </t>
  </si>
  <si>
    <t>LINDAO SUAREZ</t>
  </si>
  <si>
    <t xml:space="preserve">CHRISTIAN VICENTE </t>
  </si>
  <si>
    <t>MUÑOZ BRIONES</t>
  </si>
  <si>
    <t>WILLOW BRYAN</t>
  </si>
  <si>
    <t>QUIÑONEZ CORTEZ</t>
  </si>
  <si>
    <t xml:space="preserve">GALO LEONARDO </t>
  </si>
  <si>
    <t xml:space="preserve">FLORES ALCIVAR </t>
  </si>
  <si>
    <t xml:space="preserve">IRVIN IVAN </t>
  </si>
  <si>
    <t>PEÑAFIEL CONGO</t>
  </si>
  <si>
    <t>MARCELO ALEJANDRO</t>
  </si>
  <si>
    <t>ALVAREZ HERNANDEZ</t>
  </si>
  <si>
    <t>ROBERTO CARLOS</t>
  </si>
  <si>
    <t>ULLAURI AVELINO</t>
  </si>
  <si>
    <t>RAFAEL ERNESTO</t>
  </si>
  <si>
    <t>ARROYO AYOVI</t>
  </si>
  <si>
    <t xml:space="preserve">REIDY MAURICIO </t>
  </si>
  <si>
    <t>SANCHEZ VELASQUEZ</t>
  </si>
  <si>
    <t>JONATHAN JOSE</t>
  </si>
  <si>
    <t>CHENCHE CEDEÑO</t>
  </si>
  <si>
    <t xml:space="preserve">JOSE JAVIER </t>
  </si>
  <si>
    <t xml:space="preserve">GALARZA CARRANZA </t>
  </si>
  <si>
    <t>LUIS FELIPE</t>
  </si>
  <si>
    <t>MUTRE PEÑAFIEL</t>
  </si>
  <si>
    <t>JOSE LUIS</t>
  </si>
  <si>
    <t>SUAREZ RAMOS</t>
  </si>
  <si>
    <t>FABRICIO ALEJANDRO</t>
  </si>
  <si>
    <t>ARBOLEDA BATIOJA</t>
  </si>
  <si>
    <t xml:space="preserve">RICHARD RONALD </t>
  </si>
  <si>
    <t>ESPINOZA CRUZ</t>
  </si>
  <si>
    <t>CARLOS ALBERTO</t>
  </si>
  <si>
    <t>DE LA A VARAS</t>
  </si>
  <si>
    <t>VICTOR MANUEL</t>
  </si>
  <si>
    <t>CHICHANDE VILLA</t>
  </si>
  <si>
    <t xml:space="preserve">GILSON REINALDO </t>
  </si>
  <si>
    <t>REINA MAGALLANES</t>
  </si>
  <si>
    <t xml:space="preserve">KEVIN EDUARDO </t>
  </si>
  <si>
    <t>MACIAS CEDEÑO</t>
  </si>
  <si>
    <t>NELSON ENRIQUE</t>
  </si>
  <si>
    <t>MERCHAN CALDERON</t>
  </si>
  <si>
    <t>LUIS ALFREDO</t>
  </si>
  <si>
    <t>CORDERO TORRES</t>
  </si>
  <si>
    <t>CLAUDIO GABRIEL</t>
  </si>
  <si>
    <t>POLANCO ROSALES</t>
  </si>
  <si>
    <t>EDUARDO MIGUEL</t>
  </si>
  <si>
    <t>RODRIGUEZ PLUAS</t>
  </si>
  <si>
    <t>JULIO</t>
  </si>
  <si>
    <t>CHAVEZ LUNA</t>
  </si>
  <si>
    <t>BURI SOLORZANO</t>
  </si>
  <si>
    <t xml:space="preserve">BRAULIO ISMAEL </t>
  </si>
  <si>
    <t>ORELLANA CHIMBOLEMA</t>
  </si>
  <si>
    <t>EDISON WILMER</t>
  </si>
  <si>
    <t>ESPINOZA ANGULO</t>
  </si>
  <si>
    <t>ERICK YIRLIAN</t>
  </si>
  <si>
    <t>CASTILLO BENNET</t>
  </si>
  <si>
    <t>CARLOS ANTONIO</t>
  </si>
  <si>
    <t xml:space="preserve">CALDERON SORIA </t>
  </si>
  <si>
    <t>ROGELIO EFRAIN</t>
  </si>
  <si>
    <t xml:space="preserve">ORTIZ JACOME </t>
  </si>
  <si>
    <t>ULFER ANTONIO</t>
  </si>
  <si>
    <t>CHAMBA CAÑAR</t>
  </si>
  <si>
    <t>JORGE  ALEJANDRO</t>
  </si>
  <si>
    <t>ESPINOZA MATIAS</t>
  </si>
  <si>
    <t>JEFFERSON ANDRES</t>
  </si>
  <si>
    <t>MURILLO DEL PEZO</t>
  </si>
  <si>
    <t>CESAR ALFONSO</t>
  </si>
  <si>
    <t>ROBLES ALLAUCA</t>
  </si>
  <si>
    <t>ELIAS WASHINGTON</t>
  </si>
  <si>
    <t>TERAN MONTERO</t>
  </si>
  <si>
    <t xml:space="preserve">CARLOS DE JESUS </t>
  </si>
  <si>
    <t>JIMENEZ ESCALERA</t>
  </si>
  <si>
    <t>MARIO XAVIER</t>
  </si>
  <si>
    <t>AUREA MACIAS</t>
  </si>
  <si>
    <t>WIMPER MANUEL</t>
  </si>
  <si>
    <t>BARRETO BORBOR</t>
  </si>
  <si>
    <t>GEOVANNY BOLIVAR</t>
  </si>
  <si>
    <t>CARVACHE ALAVA</t>
  </si>
  <si>
    <t xml:space="preserve">DIEGO RUBEN </t>
  </si>
  <si>
    <t>TERRERO PROAÑO</t>
  </si>
  <si>
    <t>OJEDA ESPINOZA</t>
  </si>
  <si>
    <t>HENRY WLADIMIR</t>
  </si>
  <si>
    <t>PERALTA LARA</t>
  </si>
  <si>
    <t>JORGE STEVEN</t>
  </si>
  <si>
    <t>CORREA FARIÑO</t>
  </si>
  <si>
    <t>ESTUARDO GIOVANNY</t>
  </si>
  <si>
    <t>QUIGUANGO VERA</t>
  </si>
  <si>
    <t>EDWIN PATRICIO</t>
  </si>
  <si>
    <t>RAMOS CHUEZ</t>
  </si>
  <si>
    <t>STIVEN JOAO</t>
  </si>
  <si>
    <t>MARQUEZ ANGULO</t>
  </si>
  <si>
    <t>EDILBERTO RODOLFO</t>
  </si>
  <si>
    <t>JAMA BONE</t>
  </si>
  <si>
    <t>CARLOS LUCAS</t>
  </si>
  <si>
    <t>GARCIA PERALTA</t>
  </si>
  <si>
    <t>MIGUEL ELADIO</t>
  </si>
  <si>
    <t>VINCES FAJARDO</t>
  </si>
  <si>
    <t>MARLON MAURICIO</t>
  </si>
  <si>
    <t>PIZARRO INFANTE</t>
  </si>
  <si>
    <t>JULIO FERNANDO</t>
  </si>
  <si>
    <t>GOMEZ GUAMAN</t>
  </si>
  <si>
    <t>ERICK JOSEPH</t>
  </si>
  <si>
    <t>NAVAS MATA</t>
  </si>
  <si>
    <t>ZAMBRANO ANASTACIO</t>
  </si>
  <si>
    <t>CARLOS JONATHAN</t>
  </si>
  <si>
    <t>ROSALES JIMENEZ</t>
  </si>
  <si>
    <t xml:space="preserve">JHON WILSON </t>
  </si>
  <si>
    <t>LOZANO DUME</t>
  </si>
  <si>
    <t>JOSUE DANIEL</t>
  </si>
  <si>
    <t>CRUZ PINCAY</t>
  </si>
  <si>
    <t>EDWIN VICENTE</t>
  </si>
  <si>
    <t>JIMA CUENCA</t>
  </si>
  <si>
    <t>STEVEN FERNANDO</t>
  </si>
  <si>
    <t>CABRERA MOREIRA</t>
  </si>
  <si>
    <t>CUSME PARRAGA</t>
  </si>
  <si>
    <t>EDINSON OMAR</t>
  </si>
  <si>
    <t>BOLAÑOS TIGUA</t>
  </si>
  <si>
    <t>SUQUILANDA RODRIGUEZ</t>
  </si>
  <si>
    <t>CARLOS ALFREDO</t>
  </si>
  <si>
    <t>FERNANDEZ LOOR</t>
  </si>
  <si>
    <t>DÍAZ MITE</t>
  </si>
  <si>
    <t>MARTINEZ ANGULO</t>
  </si>
  <si>
    <t>PACHECO VERA</t>
  </si>
  <si>
    <t>VERNENILLE NAZARENO</t>
  </si>
  <si>
    <t xml:space="preserve"> PAULO</t>
  </si>
  <si>
    <t>TENORIO CABEZAS</t>
  </si>
  <si>
    <t>MORAN GALARZA</t>
  </si>
  <si>
    <t>SEGURA QUINTERO</t>
  </si>
  <si>
    <t>ORDOÑEZ ZAMBRANO</t>
  </si>
  <si>
    <t>ESPINOZA BARZOLA</t>
  </si>
  <si>
    <t>ANDRADE CARBO</t>
  </si>
  <si>
    <t>MERA PONCE</t>
  </si>
  <si>
    <t>LOPEZ ROMERO</t>
  </si>
  <si>
    <t>CRISTHIAN JEFFERSON</t>
  </si>
  <si>
    <t>QUIJIJE GUERRERO</t>
  </si>
  <si>
    <t>BOLIVAR VICENTE</t>
  </si>
  <si>
    <t>OSCAR EDUARDO</t>
  </si>
  <si>
    <t>TANDAZO BAQUE</t>
  </si>
  <si>
    <t>LIVINGTON RAFAEL</t>
  </si>
  <si>
    <t>BASURTO LARA</t>
  </si>
  <si>
    <t>MARCOS ROBERTO</t>
  </si>
  <si>
    <t>CEVALLOS LAZARO</t>
  </si>
  <si>
    <t xml:space="preserve">STALIN DAVID </t>
  </si>
  <si>
    <t xml:space="preserve">PAREDES NARANJO </t>
  </si>
  <si>
    <t xml:space="preserve">LEITON ROVINSON </t>
  </si>
  <si>
    <t xml:space="preserve"> NAZARENO VIVERO</t>
  </si>
  <si>
    <t>JOSUE ENRIQUE</t>
  </si>
  <si>
    <t>LEON RIVADENEIRA</t>
  </si>
  <si>
    <t xml:space="preserve">VICTOR HUGO </t>
  </si>
  <si>
    <t>TUNBACO LOOR</t>
  </si>
  <si>
    <t>BRYAN DENNIS</t>
  </si>
  <si>
    <t>PLUAS VERA</t>
  </si>
  <si>
    <t>FRANCIS JAVIER</t>
  </si>
  <si>
    <t>CISNEROS GARCIA</t>
  </si>
  <si>
    <t xml:space="preserve"> GUSTAVO DANIEL </t>
  </si>
  <si>
    <t>CRUZ PERALTA</t>
  </si>
  <si>
    <t xml:space="preserve">MANUEL ALBERTO </t>
  </si>
  <si>
    <t xml:space="preserve">MOLINA SANCHEZ </t>
  </si>
  <si>
    <t>CARLOS EDMUNDO</t>
  </si>
  <si>
    <t>TAYLOS ROJAS</t>
  </si>
  <si>
    <t>SIMON ALIPIO</t>
  </si>
  <si>
    <t>RODRIGUEZ ALVARADO</t>
  </si>
  <si>
    <t>GREGORIO NARCISO</t>
  </si>
  <si>
    <t>SÁNCHEZ ZAMBRANO</t>
  </si>
  <si>
    <t>MIGUEL ANGEL</t>
  </si>
  <si>
    <t>TOCTO PINTO</t>
  </si>
  <si>
    <t>ALLAN JOEL</t>
  </si>
  <si>
    <t>ESTUPIÑAN GAMBOA</t>
  </si>
  <si>
    <t>ROLANDO FABIAN</t>
  </si>
  <si>
    <t>NIETO VILLAMAR</t>
  </si>
  <si>
    <t>GILSON RONALDO</t>
  </si>
  <si>
    <t>FRANCO SORIANO</t>
  </si>
  <si>
    <t>FIDEL AUGUSTO</t>
  </si>
  <si>
    <t>ARREGA VITERI</t>
  </si>
  <si>
    <t>JAIRO ENRIQUE</t>
  </si>
  <si>
    <t>ABEL RIGOBERTO</t>
  </si>
  <si>
    <t>MONROY ORTIZ</t>
  </si>
  <si>
    <t>CRISTHIAN ALEXANDER</t>
  </si>
  <si>
    <t>LUQUE TENORIO</t>
  </si>
  <si>
    <t>ANTHONY JORDAN</t>
  </si>
  <si>
    <t>DUEÑAS SAA</t>
  </si>
  <si>
    <t>JERRY DE JESUS</t>
  </si>
  <si>
    <t>BASTIDAS MONTERO</t>
  </si>
  <si>
    <t>CALDERON LIMA</t>
  </si>
  <si>
    <t>MENDOZA CARRANZA</t>
  </si>
  <si>
    <t xml:space="preserve"> JEAN CARLOS </t>
  </si>
  <si>
    <t>PAREDES RUGEL</t>
  </si>
  <si>
    <t>JORGE ANIBAL</t>
  </si>
  <si>
    <t xml:space="preserve"> LUIS FERNANDO</t>
  </si>
  <si>
    <t>CAMPUZANO JURADO</t>
  </si>
  <si>
    <t>JAYRON EDBERTO</t>
  </si>
  <si>
    <t>BETANCOURT ORTOZ</t>
  </si>
  <si>
    <t xml:space="preserve">LESLY </t>
  </si>
  <si>
    <t>TRIUNFO</t>
  </si>
  <si>
    <t>KENIA MARIA</t>
  </si>
  <si>
    <t xml:space="preserve">GUAMAN VICUÑA </t>
  </si>
  <si>
    <t>CHILENITA</t>
  </si>
  <si>
    <t xml:space="preserve">JOSE </t>
  </si>
  <si>
    <t>MATEO MICHELENA</t>
  </si>
  <si>
    <t>EDUARDO RUBEN</t>
  </si>
  <si>
    <t>CASTRO BONE</t>
  </si>
  <si>
    <t>MATEO GAVINO</t>
  </si>
  <si>
    <t>CASTRO GUELED</t>
  </si>
  <si>
    <t>V2</t>
  </si>
  <si>
    <t>08:00 - 20:00</t>
  </si>
  <si>
    <t>17:00 - 07:00 (14h)</t>
  </si>
  <si>
    <t>VISTONY</t>
  </si>
  <si>
    <t>19:00 - 08:00 (13h)</t>
  </si>
  <si>
    <t>07:00 - 19:00</t>
  </si>
  <si>
    <t>LA CHILENITA</t>
  </si>
  <si>
    <t>SUPERVISOR GENERAL</t>
  </si>
  <si>
    <t>PATRICIO GERMAN</t>
  </si>
  <si>
    <t>GALLARDO MORA</t>
  </si>
  <si>
    <t>SUPERVISORES MOTORIZADOS</t>
  </si>
  <si>
    <t>WILLIAM ROBERTO</t>
  </si>
  <si>
    <t>MEJIA SUAREZ</t>
  </si>
  <si>
    <t>ROMERO FAJARDO</t>
  </si>
  <si>
    <t>DAVE WILMAR</t>
  </si>
  <si>
    <t>PINCAY PINCAY</t>
  </si>
  <si>
    <t>SUPERVISORES</t>
  </si>
  <si>
    <t>JAIRO DANIEL</t>
  </si>
  <si>
    <t>HIDALGO LAIZ</t>
  </si>
  <si>
    <t>PABLO SAUL</t>
  </si>
  <si>
    <t>ZAMBRANO LLANOS</t>
  </si>
  <si>
    <t>CASTILLO MORALES</t>
  </si>
  <si>
    <t xml:space="preserve"> EDUARDO ENRIQUE</t>
  </si>
  <si>
    <t>MORALES RAMOS</t>
  </si>
  <si>
    <t>JUAN CARLOS</t>
  </si>
  <si>
    <t>CARRILLO SUAREZ</t>
  </si>
  <si>
    <t>GONZALO ROBINSON</t>
  </si>
  <si>
    <t>LEON PEÑAFIE</t>
  </si>
  <si>
    <t>REYES TABARES</t>
  </si>
  <si>
    <t>CASA TOTAL</t>
  </si>
  <si>
    <t>BRYAN ORLANDO</t>
  </si>
  <si>
    <t>JACOME FALCONI</t>
  </si>
  <si>
    <t>SEMEDIC</t>
  </si>
  <si>
    <t>1P 24H L-D</t>
  </si>
  <si>
    <t xml:space="preserve">CCTV </t>
  </si>
  <si>
    <t xml:space="preserve">BLANCA AZUCENA </t>
  </si>
  <si>
    <t>PILAY DE LA CRUZ</t>
  </si>
  <si>
    <t>ANGELA DEL PILAR</t>
  </si>
  <si>
    <t>SALAZAR CEDEÑO</t>
  </si>
  <si>
    <t>ROSA EMILIA</t>
  </si>
  <si>
    <t>MOLINA TULMO</t>
  </si>
  <si>
    <t>EMERGENCIA</t>
  </si>
  <si>
    <t>ROBERTO JAVIER</t>
  </si>
  <si>
    <t xml:space="preserve">DIANA ESTEFANIA </t>
  </si>
  <si>
    <t xml:space="preserve">DELGADO OREJUELA </t>
  </si>
  <si>
    <t>TORNIQUE</t>
  </si>
  <si>
    <t>JHON MARCIAL</t>
  </si>
  <si>
    <t xml:space="preserve">MENDOZA RAMO </t>
  </si>
  <si>
    <t>COLCHA MONTERO</t>
  </si>
  <si>
    <t>PUERTA PRINCIPAL</t>
  </si>
  <si>
    <t xml:space="preserve">JUAN JOSE </t>
  </si>
  <si>
    <t xml:space="preserve">VILLON DONOSO </t>
  </si>
  <si>
    <t>BELEN BERENICE</t>
  </si>
  <si>
    <t>CRISTOFFER JOEL</t>
  </si>
  <si>
    <t>CARPIO FRANCO</t>
  </si>
  <si>
    <t>PARQUEO PLUMA</t>
  </si>
  <si>
    <t>LUIS DANIEL</t>
  </si>
  <si>
    <t>SORNOZA PEREZ</t>
  </si>
  <si>
    <t>JONATHAN MAURICIO</t>
  </si>
  <si>
    <t>ALVARADO CAVERO</t>
  </si>
  <si>
    <t xml:space="preserve">1P 12H L-D </t>
  </si>
  <si>
    <t>INFORMACION</t>
  </si>
  <si>
    <t xml:space="preserve">RECEPCION </t>
  </si>
  <si>
    <t xml:space="preserve">CHANG MEJIA </t>
  </si>
  <si>
    <t>TEAM LEADER</t>
  </si>
  <si>
    <t xml:space="preserve">ITALO GERMAN </t>
  </si>
  <si>
    <t xml:space="preserve">ALVAREZ SANTANA </t>
  </si>
  <si>
    <t xml:space="preserve">CARLOS OCTAVIO </t>
  </si>
  <si>
    <t>TORRES ESQUETINE</t>
  </si>
  <si>
    <t>CASA DEL DR SEMEDIC</t>
  </si>
  <si>
    <t>ISRAEL VICENTE</t>
  </si>
  <si>
    <t>ARREAGA MENDOZA</t>
  </si>
  <si>
    <t>WELLINGTON</t>
  </si>
  <si>
    <t>1P 12 L-D</t>
  </si>
  <si>
    <t>CUSTODIO VIP</t>
  </si>
  <si>
    <t>ALAVA TELLO</t>
  </si>
  <si>
    <t>VIA A LA COSTA</t>
  </si>
  <si>
    <t xml:space="preserve">STEVEN SEGUNDO </t>
  </si>
  <si>
    <t>RODRIGUEZ QUINDE</t>
  </si>
  <si>
    <t>IBER JOEL</t>
  </si>
  <si>
    <t>VERA LASCANO</t>
  </si>
  <si>
    <t>19:00 - 7:00</t>
  </si>
  <si>
    <t>07:00 - 15:00</t>
  </si>
  <si>
    <t xml:space="preserve">TORRES NAPA </t>
  </si>
  <si>
    <t xml:space="preserve">HENRY ROBERTO </t>
  </si>
  <si>
    <t>JOHANNA MELISA</t>
  </si>
  <si>
    <t xml:space="preserve">CARLOS ALFONSO </t>
  </si>
  <si>
    <t>SARBIA AREVALO</t>
  </si>
  <si>
    <t xml:space="preserve">NELSON RICHARD </t>
  </si>
  <si>
    <t xml:space="preserve">ADRIAN RICARDO </t>
  </si>
  <si>
    <t xml:space="preserve">PARRAGA COELLO </t>
  </si>
  <si>
    <t>RODRIGUEZ DOMINGUEZ</t>
  </si>
  <si>
    <t>JAIME MIGUEL</t>
  </si>
  <si>
    <t>6H DIURNI L-V / S y D 10H</t>
  </si>
  <si>
    <t>JORGE ISAAC</t>
  </si>
  <si>
    <t>ASPIAZU CORTES</t>
  </si>
  <si>
    <t>VIGENCIA DESDE: 03 DE AGOSTO HASTA EL 06 DE SEPTIEMBRE AÑO: 2026</t>
  </si>
  <si>
    <t xml:space="preserve"> EDGAR </t>
  </si>
  <si>
    <t>DOMINGUEZ NOBOA</t>
  </si>
  <si>
    <t xml:space="preserve"> SUQUILANDA RIOS </t>
  </si>
  <si>
    <t xml:space="preserve"> MOTA BAUTISTA</t>
  </si>
  <si>
    <t xml:space="preserve">VACA CHANG </t>
  </si>
  <si>
    <t xml:space="preserve">CRISTOPHER </t>
  </si>
  <si>
    <t xml:space="preserve"> LUIS ALFREDO</t>
  </si>
  <si>
    <t>BAQUE ROSADO</t>
  </si>
  <si>
    <t xml:space="preserve"> LUIS EDUARDO </t>
  </si>
  <si>
    <t>GUANULEMA TIGSE</t>
  </si>
  <si>
    <t xml:space="preserve">VALERIA NICOLE </t>
  </si>
  <si>
    <t xml:space="preserve">MEZA BENALCAZAR </t>
  </si>
  <si>
    <t xml:space="preserve">MARIA BELEN </t>
  </si>
  <si>
    <t>QUINTEROS UMANANTE</t>
  </si>
  <si>
    <t xml:space="preserve">ALAN ANTHONY </t>
  </si>
  <si>
    <t xml:space="preserve">REYNA CEPEDA </t>
  </si>
  <si>
    <t>ARRIAGA PONTON</t>
  </si>
  <si>
    <t>REQUERIMIENTO  CLIENTE  01 AL 15 JULIO</t>
  </si>
  <si>
    <t xml:space="preserve">   TOTAL DE PERSONAS EN NOMINA  01 Al 12 </t>
  </si>
  <si>
    <t>REQUERIMIENTO  CLIENTE 16 AL 31  JULIO</t>
  </si>
  <si>
    <t xml:space="preserve">   TOTAL DE PERSONAS EN NOMINA  13 Al 15</t>
  </si>
  <si>
    <t>12 horas diurnas L-D TORNIQUETE</t>
  </si>
  <si>
    <t xml:space="preserve">   TOTAL DE PERSONAS EN NOMINA  16 AL 19</t>
  </si>
  <si>
    <t xml:space="preserve">   TOTAL DE PERSONAS EN NOMINA  20 AL 31</t>
  </si>
  <si>
    <t xml:space="preserve">12 horas L-V </t>
  </si>
  <si>
    <t xml:space="preserve">AVALOS LEON </t>
  </si>
  <si>
    <t xml:space="preserve">ROY ALFREDO </t>
  </si>
  <si>
    <t xml:space="preserve">MECIAS SUAREZ </t>
  </si>
  <si>
    <t>MONTERO PRADO</t>
  </si>
  <si>
    <t xml:space="preserve"> RONALD</t>
  </si>
  <si>
    <t xml:space="preserve">GEORGE FRANKLIN </t>
  </si>
  <si>
    <t>LOZANO PILLCO</t>
  </si>
  <si>
    <t>MARCOS ANTONIO</t>
  </si>
  <si>
    <t>MAYORGA GUALE</t>
  </si>
  <si>
    <t xml:space="preserve">IAN MICHAEL </t>
  </si>
  <si>
    <t>MENDEZ ZALAMEA</t>
  </si>
  <si>
    <r>
      <t xml:space="preserve">07H30-18H00 (10.5H)/ </t>
    </r>
    <r>
      <rPr>
        <b/>
        <sz val="7"/>
        <color theme="1"/>
        <rFont val="Calibri"/>
        <family val="2"/>
        <scheme val="minor"/>
      </rPr>
      <t>S</t>
    </r>
    <r>
      <rPr>
        <sz val="7"/>
        <color theme="1"/>
        <rFont val="Calibri"/>
        <family val="2"/>
        <scheme val="minor"/>
      </rPr>
      <t xml:space="preserve"> 07H30-16H00 (8.5)</t>
    </r>
  </si>
  <si>
    <r>
      <t xml:space="preserve">07H30-18H00 (10.5H)/ </t>
    </r>
    <r>
      <rPr>
        <b/>
        <sz val="7"/>
        <color theme="1"/>
        <rFont val="Calibri"/>
        <family val="2"/>
        <scheme val="minor"/>
      </rPr>
      <t>S</t>
    </r>
    <r>
      <rPr>
        <sz val="7"/>
        <color theme="1"/>
        <rFont val="Calibri"/>
        <family val="2"/>
        <scheme val="minor"/>
      </rPr>
      <t xml:space="preserve"> 08H30 A 17H00 (8.5)</t>
    </r>
  </si>
  <si>
    <t>LOC.</t>
  </si>
  <si>
    <t>CHQM</t>
  </si>
  <si>
    <t>CCG</t>
  </si>
  <si>
    <t>CEMENTEIO</t>
  </si>
  <si>
    <t>CNT</t>
  </si>
  <si>
    <t>SACA FRANCO</t>
  </si>
  <si>
    <t xml:space="preserve">FRANCISCO EMMANUEL </t>
  </si>
  <si>
    <t>TROYA MAQUILON</t>
  </si>
  <si>
    <t xml:space="preserve"> JOSE DAVID</t>
  </si>
  <si>
    <t xml:space="preserve">GARCIA BATALLA </t>
  </si>
  <si>
    <t>ERICK DAVID</t>
  </si>
  <si>
    <t>BUSTOS VARGAS</t>
  </si>
  <si>
    <t>VILLAO CANTOS</t>
  </si>
  <si>
    <t>DANILO ISRAEL</t>
  </si>
  <si>
    <t>FRANCISCO GUILLERMO</t>
  </si>
  <si>
    <t>VERGARA RUGEL</t>
  </si>
  <si>
    <t>KEVIN RAFAEL</t>
  </si>
  <si>
    <t>QUIJIJE ADRIAN</t>
  </si>
  <si>
    <t>EDGAR ALBERTO</t>
  </si>
  <si>
    <t>ARIEL ALEXANDER</t>
  </si>
  <si>
    <t>PINCAY GASPAR</t>
  </si>
  <si>
    <t>KEVIN JAIR</t>
  </si>
  <si>
    <t>ESPINOZA HERRERA</t>
  </si>
  <si>
    <t>OSCAR JAVIER</t>
  </si>
  <si>
    <t>BERMUDES CONTRERAS</t>
  </si>
  <si>
    <t>DELGADO YESQUEN</t>
  </si>
  <si>
    <t>JOSE RAMON</t>
  </si>
  <si>
    <t>EDISON IVAN</t>
  </si>
  <si>
    <t>ALFONSO LEONEL</t>
  </si>
  <si>
    <t>SORIA FALCONES</t>
  </si>
  <si>
    <t>DHL MECANOS</t>
  </si>
  <si>
    <t>ANTHONY BRYAN</t>
  </si>
  <si>
    <t>JIMENEZ JIMENEZ</t>
  </si>
  <si>
    <t xml:space="preserve">GILSON ALEXIS </t>
  </si>
  <si>
    <t xml:space="preserve">BASTIDAS MONTERO </t>
  </si>
  <si>
    <t xml:space="preserve">LUIS ENRIQUE </t>
  </si>
  <si>
    <t>PISCO MAYORGA</t>
  </si>
  <si>
    <t xml:space="preserve">DHL </t>
  </si>
  <si>
    <t>PDS 09 OCTUBRE</t>
  </si>
  <si>
    <t>VIGENCIA DESDE: 03 AGOSTO AÑO : 2026</t>
  </si>
  <si>
    <t>ANASTACIO QUINDE</t>
  </si>
  <si>
    <t>PEDRO VICENTE</t>
  </si>
  <si>
    <t>CESAR JESUS</t>
  </si>
  <si>
    <t>VILLON SANCHEZ</t>
  </si>
  <si>
    <t>CARLOS JAVIER</t>
  </si>
  <si>
    <t>ARANEA CHANCAY</t>
  </si>
  <si>
    <t>ISAAC GUILLERMO</t>
  </si>
  <si>
    <t>PAGALO TACURI</t>
  </si>
  <si>
    <t>EDWIN RICARDO</t>
  </si>
  <si>
    <t>RAQUEL MONICA</t>
  </si>
  <si>
    <t>12 HORAS 06:30 A 18:30</t>
  </si>
  <si>
    <t>LEON ESPINOZA</t>
  </si>
  <si>
    <t>LOPEZ HERRERA</t>
  </si>
  <si>
    <t>ANGELICA DAYANNA</t>
  </si>
  <si>
    <t>YANEZ LOOR</t>
  </si>
  <si>
    <t>ALEXIS JOSTIN</t>
  </si>
  <si>
    <t>LEON DE LA ROSA</t>
  </si>
  <si>
    <t>MAPFRE</t>
  </si>
  <si>
    <t xml:space="preserve"> JIMMY DAVID</t>
  </si>
  <si>
    <t>LINDAO BAYONA</t>
  </si>
  <si>
    <t>ZAMBRANO MOREIRA</t>
  </si>
  <si>
    <t>VELEZ COBOS</t>
  </si>
  <si>
    <t>JONATHAN FABRICIO</t>
  </si>
  <si>
    <t>JOSUE RAUL</t>
  </si>
  <si>
    <t>CAICEDO RODRIGUEZ</t>
  </si>
  <si>
    <t>EDUARDO GEOVANNY</t>
  </si>
  <si>
    <t>SALAS RUIZ</t>
  </si>
  <si>
    <t>JESUS ALBERTO</t>
  </si>
  <si>
    <t>ESPINOZA DE LOS MONTEROS GRANJA</t>
  </si>
  <si>
    <t>EDWIN ANDRES</t>
  </si>
  <si>
    <t>MACIAS SALAZAR</t>
  </si>
  <si>
    <t>SOTO SAVALA</t>
  </si>
  <si>
    <t>GINPSON DAVID</t>
  </si>
  <si>
    <t>DAVE ADONYS</t>
  </si>
  <si>
    <t>LOPEZ CORDOVA</t>
  </si>
  <si>
    <t>MALDONADO MARQUEZ</t>
  </si>
  <si>
    <t>ROMERO BAQUERIZO</t>
  </si>
  <si>
    <t>CHRISTIAN JAVIER</t>
  </si>
  <si>
    <t>PONGUILLO MONROY</t>
  </si>
  <si>
    <t>GOMEZ VERA</t>
  </si>
  <si>
    <t>TOCTO CHALEN</t>
  </si>
  <si>
    <t>DANIEL ALEXANDER</t>
  </si>
  <si>
    <t>OROZCO VELEZ</t>
  </si>
  <si>
    <t>PICO DAVIS</t>
  </si>
  <si>
    <t>SILVA AVILES</t>
  </si>
  <si>
    <t>ALEXI ALEXANDER</t>
  </si>
  <si>
    <t xml:space="preserve">ROMAN CHAMAIDAN </t>
  </si>
  <si>
    <t>JESSY</t>
  </si>
  <si>
    <t xml:space="preserve">CABELLO </t>
  </si>
  <si>
    <t>PILOZO ROMERO</t>
  </si>
  <si>
    <t xml:space="preserve">CONTROL DE GUARDIA FLOTANTE </t>
  </si>
  <si>
    <t>FECHA</t>
  </si>
  <si>
    <t xml:space="preserve">HORARIO </t>
  </si>
  <si>
    <t xml:space="preserve">INSTALACION  </t>
  </si>
  <si>
    <t xml:space="preserve">MOTIVO </t>
  </si>
  <si>
    <t xml:space="preserve">OBSERVACION </t>
  </si>
  <si>
    <t>GARCIA JIMENEZ</t>
  </si>
  <si>
    <t>ABAD SINCHIGUANO</t>
  </si>
  <si>
    <t>DARWIN JEAMPIERRE</t>
  </si>
  <si>
    <t>JAVIER ALEXANDER</t>
  </si>
  <si>
    <t>TYRONEN JOSIMAR</t>
  </si>
  <si>
    <t>SILVA JIMENEZ</t>
  </si>
  <si>
    <t>PERSONAL OPERATIVO</t>
  </si>
  <si>
    <t>ACTIVIDAD</t>
  </si>
  <si>
    <t>JACINTO EMETRIO YEPEZ PANCHANA</t>
  </si>
  <si>
    <t>MARIA</t>
  </si>
  <si>
    <t>CATAGUA MACIAS</t>
  </si>
  <si>
    <t>ADEMIR YANDRY</t>
  </si>
  <si>
    <t>VIGENCIA DESDE: 07 DE SEPTIEMBRE HASTA EL 11 DE OCTUBRE AÑO: 2026</t>
  </si>
  <si>
    <t>VIGENCIA DESDE: 07 DE SEPTIEMBRE HASTA EL 11DE OCTUBRE AÑO: 2026</t>
  </si>
  <si>
    <t>SEPTIEMBRE</t>
  </si>
  <si>
    <t>VIGENCIA DESDE: 07 DE SEPTIEMBRE HASTA EL 04 DE OCTUBRE AÑO: 2026</t>
  </si>
  <si>
    <t>STEVEN JOSE</t>
  </si>
  <si>
    <t>GONZALEZ FIGUEROA</t>
  </si>
  <si>
    <t>JESUS DANIEL</t>
  </si>
  <si>
    <t>10:00-18:00 / L 11:00 -19:00</t>
  </si>
  <si>
    <t>10:00-16:00</t>
  </si>
  <si>
    <t>07:00-17:00</t>
  </si>
  <si>
    <t>CRHRISTIAN RONNY</t>
  </si>
  <si>
    <t>ANGEL ANTONIO</t>
  </si>
  <si>
    <t xml:space="preserve">ERICK </t>
  </si>
  <si>
    <t>CHICA LOPEZ</t>
  </si>
  <si>
    <t>CAGUA CAGUA</t>
  </si>
  <si>
    <t>REASCO ESTUPIÑAN</t>
  </si>
  <si>
    <t xml:space="preserve">ALVARO LEONEL </t>
  </si>
  <si>
    <t xml:space="preserve">GUADAMUD ARTEAGA </t>
  </si>
  <si>
    <t xml:space="preserve">JHONNY ANDRES </t>
  </si>
  <si>
    <t>YODDY RICARDO</t>
  </si>
  <si>
    <t>YANSAPANTA ROBELO</t>
  </si>
  <si>
    <t>JOHANNA ISABELA</t>
  </si>
  <si>
    <t>MARJORIE DEYALIT</t>
  </si>
  <si>
    <t>AARON RICHARD</t>
  </si>
  <si>
    <t>TIRZO EMILIANO</t>
  </si>
  <si>
    <t>LUIS ENRIQUE</t>
  </si>
  <si>
    <t>ANTHONY GEOVANNY</t>
  </si>
  <si>
    <t>CARLOS LUIS</t>
  </si>
  <si>
    <t>DIEGO ARMANDO</t>
  </si>
  <si>
    <t>EDUARDO ADILSON</t>
  </si>
  <si>
    <t>KARLA YAJAIRA</t>
  </si>
  <si>
    <t>QUIÑOÑEZ AVILES</t>
  </si>
  <si>
    <t>CORINA JETZABETH</t>
  </si>
  <si>
    <t>RAFAEL ALEJANDRO</t>
  </si>
  <si>
    <t>KEVIN  AUGUSTO</t>
  </si>
  <si>
    <t>LEONARDO ALEJANDRO</t>
  </si>
  <si>
    <t>BECKER WILLIAMS</t>
  </si>
  <si>
    <t>CRUZ CRUZ</t>
  </si>
  <si>
    <t>KEVIN ISRAEL</t>
  </si>
  <si>
    <t>CUBRE HRG</t>
  </si>
  <si>
    <t>CUBRE HLV</t>
  </si>
  <si>
    <t>NICOLAS ANDRES</t>
  </si>
  <si>
    <t xml:space="preserve">ALCIVAR MORENO </t>
  </si>
  <si>
    <t>CARLOS OCTAVIO</t>
  </si>
  <si>
    <t>ANGEL FERNANDO</t>
  </si>
  <si>
    <t>MAYORGA VILLAVICENCIO</t>
  </si>
  <si>
    <t>IVAN ANDRES</t>
  </si>
  <si>
    <t>SILVA MOROCHO</t>
  </si>
  <si>
    <t>FLOTANTE</t>
  </si>
  <si>
    <t>JACINTO DEMETRIO</t>
  </si>
  <si>
    <t>YEPEZ PANCHANA</t>
  </si>
  <si>
    <t>1 P DE 10H L-S</t>
  </si>
  <si>
    <t>JBG - INC</t>
  </si>
  <si>
    <t>CUBRE VACANTE DEL SR ROGELIO ORTIZ</t>
  </si>
  <si>
    <t>JBG - CIUDAD DEPORTIVA</t>
  </si>
  <si>
    <t>CUBRE ADELANTO DE TURNO DEL SR JAIRO ROMERO 6//9/2026</t>
  </si>
  <si>
    <t>WILMER EUDADALDO</t>
  </si>
  <si>
    <t>LIPARI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</si>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</sst>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540A]dd\-mmm\-yy;@"/>
  </numFmts>
  <fonts count="8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2"/>
    </font>
    <font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entury Gothic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1"/>
      <name val="Calibri"/>
      <family val="1"/>
    </font>
    <font>
      <b/>
      <sz val="11"/>
      <color rgb="FF000000"/>
      <name val="Calibri"/>
      <family val="2"/>
      <scheme val="minor"/>
    </font>
    <font>
      <sz val="8"/>
      <color rgb="FF000000"/>
      <name val="Century Gothic"/>
      <family val="2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5"/>
      <color theme="0"/>
      <name val="Calibri"/>
      <family val="2"/>
      <scheme val="minor"/>
    </font>
    <font>
      <sz val="5"/>
      <color theme="1"/>
      <name val="Calibri"/>
      <family val="2"/>
      <scheme val="minor"/>
    </font>
    <font>
      <sz val="5"/>
      <color rgb="FF000000"/>
      <name val="Calibri"/>
      <family val="2"/>
      <scheme val="minor"/>
    </font>
    <font>
      <sz val="5"/>
      <color rgb="FFFFFFFF"/>
      <name val="Calibri"/>
      <family val="2"/>
    </font>
    <font>
      <sz val="5"/>
      <color rgb="FF000000"/>
      <name val="Calibri"/>
      <family val="2"/>
    </font>
    <font>
      <sz val="5"/>
      <name val="Calibri"/>
      <family val="2"/>
    </font>
    <font>
      <sz val="7"/>
      <color theme="1"/>
      <name val="Calibri"/>
      <family val="2"/>
      <scheme val="minor"/>
    </font>
    <font>
      <b/>
      <sz val="5"/>
      <color theme="0"/>
      <name val="Calibri"/>
      <family val="2"/>
      <scheme val="minor"/>
    </font>
    <font>
      <sz val="5"/>
      <name val="Calibri"/>
      <family val="2"/>
      <scheme val="minor"/>
    </font>
    <font>
      <b/>
      <sz val="5"/>
      <color theme="1"/>
      <name val="Calibri"/>
      <family val="2"/>
      <scheme val="minor"/>
    </font>
    <font>
      <sz val="7"/>
      <color theme="0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color theme="0"/>
      <name val="Calibri"/>
      <family val="2"/>
      <scheme val="minor"/>
    </font>
    <font>
      <sz val="5"/>
      <color theme="1"/>
      <name val="Calibri"/>
      <family val="2"/>
    </font>
    <font>
      <sz val="7"/>
      <color theme="1"/>
      <name val="Calibri"/>
      <family val="2"/>
    </font>
    <font>
      <sz val="7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5"/>
      <color rgb="FF000000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FFFFFF"/>
      <name val="Calibri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BFBFBF"/>
        <bgColor rgb="FF9DC3E6"/>
      </patternFill>
    </fill>
    <fill>
      <patternFill patternType="solid">
        <fgColor theme="0"/>
        <bgColor rgb="FFFFFFCC"/>
      </patternFill>
    </fill>
    <fill>
      <patternFill patternType="solid">
        <fgColor theme="0" tint="-0.34998626667073579"/>
        <bgColor rgb="FF9DC3E6"/>
      </patternFill>
    </fill>
    <fill>
      <patternFill patternType="solid">
        <fgColor rgb="FFA6A6A6"/>
        <bgColor rgb="FFA5A5A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rgb="FFFF0000"/>
      </patternFill>
    </fill>
    <fill>
      <patternFill patternType="solid">
        <fgColor rgb="FFADB9CA"/>
        <bgColor rgb="FFBFBFBF"/>
      </patternFill>
    </fill>
    <fill>
      <patternFill patternType="solid">
        <fgColor rgb="FFF4B183"/>
        <bgColor rgb="FFFFD966"/>
      </patternFill>
    </fill>
    <fill>
      <patternFill patternType="solid">
        <fgColor rgb="FFA9D18E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0070C0"/>
        <bgColor rgb="FF008080"/>
      </patternFill>
    </fill>
    <fill>
      <patternFill patternType="solid">
        <fgColor theme="7" tint="0.79998168889431442"/>
        <bgColor rgb="FFFFFFCC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rgb="FF000000"/>
      </patternFill>
    </fill>
    <fill>
      <patternFill patternType="solid">
        <fgColor theme="0" tint="-0.499984740745262"/>
        <bgColor rgb="FFFFFFCC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FFFFCC"/>
      </patternFill>
    </fill>
    <fill>
      <patternFill patternType="solid">
        <fgColor rgb="FF975CCB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FFFFF"/>
        <bgColor rgb="FFDEEBF7"/>
      </patternFill>
    </fill>
    <fill>
      <patternFill patternType="solid">
        <fgColor rgb="FF808080"/>
        <bgColor rgb="FF7F7F7F"/>
      </patternFill>
    </fill>
    <fill>
      <patternFill patternType="solid">
        <fgColor rgb="FF7F7F7F"/>
        <bgColor rgb="FF808080"/>
      </patternFill>
    </fill>
    <fill>
      <patternFill patternType="solid">
        <fgColor rgb="FF767171"/>
        <bgColor rgb="FF7F7F7F"/>
      </patternFill>
    </fill>
    <fill>
      <patternFill patternType="solid">
        <fgColor theme="0"/>
        <bgColor rgb="FFAA17B9"/>
      </patternFill>
    </fill>
    <fill>
      <patternFill patternType="solid">
        <fgColor rgb="FF00B0F0"/>
        <bgColor rgb="FFDEEBF7"/>
      </patternFill>
    </fill>
    <fill>
      <patternFill patternType="solid">
        <fgColor theme="0"/>
        <bgColor rgb="FFDEEBF7"/>
      </patternFill>
    </fill>
    <fill>
      <patternFill patternType="solid">
        <fgColor theme="8" tint="0.39997558519241921"/>
        <bgColor rgb="FFFFFFCC"/>
      </patternFill>
    </fill>
    <fill>
      <patternFill patternType="solid">
        <fgColor theme="5" tint="-0.249977111117893"/>
        <bgColor rgb="FFDEEBF7"/>
      </patternFill>
    </fill>
    <fill>
      <patternFill patternType="solid">
        <fgColor theme="0"/>
        <bgColor rgb="FF008080"/>
      </patternFill>
    </fill>
    <fill>
      <patternFill patternType="solid">
        <fgColor rgb="FFFF0000"/>
        <bgColor rgb="FFDEEBF7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4"/>
        <bgColor rgb="FF9DC3E6"/>
      </patternFill>
    </fill>
    <fill>
      <patternFill patternType="solid">
        <fgColor rgb="FFD9D9D9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theme="2" tint="-0.499984740745262"/>
        <bgColor rgb="FF9DC3E6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CC3300"/>
        <bgColor rgb="FFFFFFCC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rgb="FFFFFFCC"/>
      </patternFill>
    </fill>
    <fill>
      <patternFill patternType="solid">
        <fgColor theme="0" tint="-0.34998626667073579"/>
        <bgColor rgb="FFFFFFCC"/>
      </patternFill>
    </fill>
    <fill>
      <patternFill patternType="solid">
        <fgColor theme="0" tint="-0.34998626667073579"/>
        <bgColor rgb="FFB4C7E7"/>
      </patternFill>
    </fill>
    <fill>
      <patternFill patternType="solid">
        <fgColor theme="5" tint="0.79998168889431442"/>
        <bgColor rgb="FFB4C7E7"/>
      </patternFill>
    </fill>
    <fill>
      <patternFill patternType="solid">
        <fgColor theme="0"/>
        <bgColor rgb="FFB4C7E7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A6A6A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rgb="FFFDEADA"/>
      </patternFill>
    </fill>
    <fill>
      <patternFill patternType="solid">
        <fgColor theme="0"/>
        <bgColor rgb="FF8EB4E3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rgb="FFE6B9B8"/>
      </patternFill>
    </fill>
    <fill>
      <patternFill patternType="solid">
        <fgColor theme="0"/>
        <bgColor rgb="FFFFFF00"/>
      </patternFill>
    </fill>
    <fill>
      <patternFill patternType="solid">
        <fgColor theme="0" tint="-0.249977111117893"/>
        <bgColor rgb="FF8EB4E3"/>
      </patternFill>
    </fill>
    <fill>
      <patternFill patternType="solid">
        <fgColor rgb="FF00B0F0"/>
        <bgColor rgb="FFFFFFCC"/>
      </patternFill>
    </fill>
    <fill>
      <patternFill patternType="solid">
        <fgColor rgb="FFFFFF00"/>
        <bgColor rgb="FFB4C7E7"/>
      </patternFill>
    </fill>
    <fill>
      <patternFill patternType="solid">
        <fgColor theme="9" tint="0.39997558519241921"/>
        <bgColor rgb="FFDEEBF7"/>
      </patternFill>
    </fill>
    <fill>
      <patternFill patternType="solid">
        <fgColor theme="0"/>
        <bgColor rgb="FF7F7F7F"/>
      </patternFill>
    </fill>
    <fill>
      <patternFill patternType="solid">
        <fgColor rgb="FF00B050"/>
        <bgColor rgb="FFDEEBF7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5A96D1"/>
        <bgColor indexed="64"/>
      </patternFill>
    </fill>
    <fill>
      <patternFill patternType="solid">
        <fgColor theme="0"/>
        <bgColor rgb="FF808080"/>
      </patternFill>
    </fill>
    <fill>
      <patternFill patternType="solid">
        <fgColor theme="6" tint="-0.249977111117893"/>
        <bgColor rgb="FFDEEBF7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rgb="FF9DC3E6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rgb="FF9DC3E6"/>
      </patternFill>
    </fill>
    <fill>
      <patternFill patternType="solid">
        <fgColor theme="2" tint="-0.499984740745262"/>
        <bgColor rgb="FFDEEBF7"/>
      </patternFill>
    </fill>
    <fill>
      <patternFill patternType="solid">
        <fgColor theme="7" tint="0.39997558519241921"/>
        <bgColor rgb="FFDEEBF7"/>
      </patternFill>
    </fill>
    <fill>
      <patternFill patternType="solid">
        <fgColor theme="1"/>
        <bgColor rgb="FF000000"/>
      </patternFill>
    </fill>
    <fill>
      <patternFill patternType="solid">
        <fgColor theme="1"/>
        <bgColor indexed="64"/>
      </patternFill>
    </fill>
  </fills>
  <borders count="97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/>
      <bottom style="thin">
        <color rgb="FF0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theme="0" tint="-0.34998626667073579"/>
      </right>
      <top/>
      <bottom style="medium">
        <color indexed="64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medium">
        <color indexed="64"/>
      </bottom>
      <diagonal/>
    </border>
    <border>
      <left style="thin">
        <color rgb="FFA6A6A6"/>
      </left>
      <right style="thin">
        <color rgb="FFA6A6A6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rgb="FFA6A6A6"/>
      </right>
      <top style="medium">
        <color indexed="64"/>
      </top>
      <bottom/>
      <diagonal/>
    </border>
    <border>
      <left style="medium">
        <color indexed="64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indexed="64"/>
      </right>
      <top/>
      <bottom/>
      <diagonal/>
    </border>
    <border>
      <left style="medium">
        <color indexed="64"/>
      </left>
      <right style="thin">
        <color rgb="FFA6A6A6"/>
      </right>
      <top/>
      <bottom style="medium">
        <color indexed="64"/>
      </bottom>
      <diagonal/>
    </border>
    <border>
      <left style="thin">
        <color rgb="FFA6A6A6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  <border>
      <left/>
      <right style="thin">
        <color rgb="FFA6A6A6"/>
      </right>
      <top/>
      <bottom style="thin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/>
      <diagonal/>
    </border>
    <border>
      <left style="thin">
        <color indexed="64"/>
      </left>
      <right style="thin">
        <color theme="0" tint="-0.34998626667073579"/>
      </right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rgb="FF000000"/>
      </bottom>
      <diagonal/>
    </border>
    <border>
      <left style="thin">
        <color rgb="FFA6A6A6"/>
      </left>
      <right style="thin">
        <color indexed="64"/>
      </right>
      <top style="medium">
        <color indexed="64"/>
      </top>
      <bottom/>
      <diagonal/>
    </border>
    <border>
      <left style="thin">
        <color rgb="FFA6A6A6"/>
      </left>
      <right style="thin">
        <color rgb="FFA6A6A6"/>
      </right>
      <top style="medium">
        <color indexed="64"/>
      </top>
      <bottom style="thin">
        <color rgb="FFA6A6A6"/>
      </bottom>
      <diagonal/>
    </border>
    <border>
      <left style="thin">
        <color auto="1"/>
      </left>
      <right style="thin">
        <color theme="0" tint="-0.34998626667073579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7">
    <xf numFmtId="0" fontId="0" fillId="0" borderId="0"/>
    <xf numFmtId="0" fontId="30" fillId="0" borderId="0"/>
    <xf numFmtId="0" fontId="18" fillId="0" borderId="0"/>
    <xf numFmtId="0" fontId="17" fillId="0" borderId="0"/>
    <xf numFmtId="0" fontId="41" fillId="0" borderId="0"/>
    <xf numFmtId="0" fontId="42" fillId="0" borderId="0">
      <alignment vertical="center"/>
    </xf>
    <xf numFmtId="0" fontId="25" fillId="0" borderId="0">
      <alignment vertical="center"/>
    </xf>
    <xf numFmtId="0" fontId="16" fillId="0" borderId="0"/>
    <xf numFmtId="0" fontId="25" fillId="0" borderId="0">
      <alignment vertical="center"/>
    </xf>
    <xf numFmtId="0" fontId="16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6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protection locked="0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protection locked="0"/>
    </xf>
    <xf numFmtId="0" fontId="25" fillId="0" borderId="0">
      <alignment vertical="center"/>
    </xf>
    <xf numFmtId="0" fontId="25" fillId="0" borderId="0">
      <protection locked="0"/>
    </xf>
    <xf numFmtId="0" fontId="25" fillId="0" borderId="0">
      <alignment vertical="center"/>
    </xf>
    <xf numFmtId="0" fontId="48" fillId="0" borderId="0"/>
    <xf numFmtId="0" fontId="24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</cellStyleXfs>
  <cellXfs count="948">
    <xf numFmtId="0" fontId="0" fillId="0" borderId="0" xfId="0"/>
    <xf numFmtId="0" fontId="0" fillId="0" borderId="0" xfId="0" applyAlignment="1">
      <alignment horizontal="center" vertical="center" wrapText="1"/>
    </xf>
    <xf numFmtId="0" fontId="0" fillId="28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27" borderId="12" xfId="0" applyFill="1" applyBorder="1" applyAlignment="1">
      <alignment horizontal="center"/>
    </xf>
    <xf numFmtId="0" fontId="0" fillId="27" borderId="2" xfId="0" applyFill="1" applyBorder="1" applyAlignment="1">
      <alignment horizontal="center"/>
    </xf>
    <xf numFmtId="0" fontId="0" fillId="27" borderId="9" xfId="0" applyFill="1" applyBorder="1" applyAlignment="1">
      <alignment horizontal="center"/>
    </xf>
    <xf numFmtId="0" fontId="0" fillId="27" borderId="3" xfId="0" applyFill="1" applyBorder="1" applyAlignment="1">
      <alignment horizontal="center"/>
    </xf>
    <xf numFmtId="0" fontId="0" fillId="27" borderId="13" xfId="0" applyFill="1" applyBorder="1" applyAlignment="1">
      <alignment horizontal="center"/>
    </xf>
    <xf numFmtId="0" fontId="0" fillId="0" borderId="12" xfId="0" applyBorder="1"/>
    <xf numFmtId="0" fontId="0" fillId="27" borderId="0" xfId="0" applyFill="1"/>
    <xf numFmtId="0" fontId="19" fillId="27" borderId="12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0" fillId="27" borderId="2" xfId="0" applyFill="1" applyBorder="1" applyAlignment="1">
      <alignment horizontal="center" vertical="center"/>
    </xf>
    <xf numFmtId="0" fontId="0" fillId="27" borderId="11" xfId="0" applyFill="1" applyBorder="1" applyAlignment="1">
      <alignment horizontal="center"/>
    </xf>
    <xf numFmtId="0" fontId="20" fillId="2" borderId="12" xfId="0" applyFont="1" applyFill="1" applyBorder="1" applyAlignment="1">
      <alignment horizontal="center"/>
    </xf>
    <xf numFmtId="0" fontId="0" fillId="25" borderId="0" xfId="0" applyFill="1" applyAlignment="1">
      <alignment horizontal="center"/>
    </xf>
    <xf numFmtId="0" fontId="29" fillId="2" borderId="10" xfId="0" applyFont="1" applyFill="1" applyBorder="1"/>
    <xf numFmtId="0" fontId="20" fillId="2" borderId="10" xfId="0" applyFont="1" applyFill="1" applyBorder="1" applyAlignment="1">
      <alignment horizontal="center"/>
    </xf>
    <xf numFmtId="0" fontId="20" fillId="2" borderId="13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29" fillId="2" borderId="14" xfId="0" applyFont="1" applyFill="1" applyBorder="1" applyAlignment="1">
      <alignment horizontal="center"/>
    </xf>
    <xf numFmtId="0" fontId="0" fillId="27" borderId="0" xfId="0" applyFill="1" applyAlignment="1">
      <alignment horizontal="center" vertical="center"/>
    </xf>
    <xf numFmtId="0" fontId="0" fillId="27" borderId="12" xfId="0" applyFill="1" applyBorder="1" applyAlignment="1">
      <alignment horizontal="center" vertical="center"/>
    </xf>
    <xf numFmtId="0" fontId="45" fillId="27" borderId="31" xfId="0" applyFont="1" applyFill="1" applyBorder="1" applyAlignment="1">
      <alignment horizontal="left" vertical="center"/>
    </xf>
    <xf numFmtId="0" fontId="26" fillId="27" borderId="12" xfId="0" applyFont="1" applyFill="1" applyBorder="1" applyAlignment="1">
      <alignment horizontal="center"/>
    </xf>
    <xf numFmtId="0" fontId="0" fillId="27" borderId="12" xfId="0" applyFill="1" applyBorder="1"/>
    <xf numFmtId="0" fontId="0" fillId="27" borderId="3" xfId="0" applyFill="1" applyBorder="1"/>
    <xf numFmtId="0" fontId="0" fillId="3" borderId="12" xfId="0" applyFill="1" applyBorder="1"/>
    <xf numFmtId="0" fontId="22" fillId="0" borderId="0" xfId="0" applyFont="1"/>
    <xf numFmtId="0" fontId="0" fillId="27" borderId="3" xfId="0" applyFill="1" applyBorder="1" applyAlignment="1">
      <alignment horizontal="center" vertical="center"/>
    </xf>
    <xf numFmtId="0" fontId="33" fillId="6" borderId="7" xfId="0" applyFont="1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33" fillId="6" borderId="12" xfId="0" applyFont="1" applyFill="1" applyBorder="1" applyAlignment="1">
      <alignment horizontal="center" vertical="center"/>
    </xf>
    <xf numFmtId="0" fontId="33" fillId="48" borderId="12" xfId="0" applyFont="1" applyFill="1" applyBorder="1" applyAlignment="1">
      <alignment horizontal="center" vertical="center"/>
    </xf>
    <xf numFmtId="0" fontId="0" fillId="27" borderId="17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52" borderId="0" xfId="0" applyFill="1" applyAlignment="1">
      <alignment horizontal="center"/>
    </xf>
    <xf numFmtId="0" fontId="0" fillId="4" borderId="12" xfId="0" applyFill="1" applyBorder="1"/>
    <xf numFmtId="0" fontId="26" fillId="27" borderId="12" xfId="0" applyFont="1" applyFill="1" applyBorder="1" applyAlignment="1">
      <alignment horizontal="center" vertical="center"/>
    </xf>
    <xf numFmtId="0" fontId="26" fillId="27" borderId="3" xfId="0" applyFont="1" applyFill="1" applyBorder="1" applyAlignment="1">
      <alignment horizontal="center"/>
    </xf>
    <xf numFmtId="0" fontId="0" fillId="27" borderId="17" xfId="0" applyFill="1" applyBorder="1" applyAlignment="1">
      <alignment horizontal="center" vertical="center"/>
    </xf>
    <xf numFmtId="0" fontId="33" fillId="6" borderId="3" xfId="0" applyFont="1" applyFill="1" applyBorder="1" applyAlignment="1">
      <alignment horizontal="center" vertical="center"/>
    </xf>
    <xf numFmtId="0" fontId="0" fillId="27" borderId="20" xfId="0" applyFill="1" applyBorder="1" applyAlignment="1">
      <alignment horizontal="center"/>
    </xf>
    <xf numFmtId="0" fontId="29" fillId="2" borderId="12" xfId="0" applyFont="1" applyFill="1" applyBorder="1"/>
    <xf numFmtId="0" fontId="20" fillId="2" borderId="12" xfId="0" applyFont="1" applyFill="1" applyBorder="1"/>
    <xf numFmtId="0" fontId="38" fillId="2" borderId="12" xfId="0" applyFont="1" applyFill="1" applyBorder="1" applyAlignment="1">
      <alignment horizontal="center"/>
    </xf>
    <xf numFmtId="0" fontId="34" fillId="2" borderId="12" xfId="0" applyFont="1" applyFill="1" applyBorder="1" applyAlignment="1">
      <alignment horizontal="center"/>
    </xf>
    <xf numFmtId="0" fontId="26" fillId="27" borderId="10" xfId="0" applyFont="1" applyFill="1" applyBorder="1" applyAlignment="1">
      <alignment vertical="center"/>
    </xf>
    <xf numFmtId="0" fontId="26" fillId="27" borderId="13" xfId="0" applyFont="1" applyFill="1" applyBorder="1" applyAlignment="1">
      <alignment horizontal="center"/>
    </xf>
    <xf numFmtId="0" fontId="26" fillId="27" borderId="3" xfId="0" applyFont="1" applyFill="1" applyBorder="1" applyAlignment="1">
      <alignment vertical="center"/>
    </xf>
    <xf numFmtId="0" fontId="26" fillId="27" borderId="10" xfId="0" applyFont="1" applyFill="1" applyBorder="1" applyAlignment="1">
      <alignment horizontal="center"/>
    </xf>
    <xf numFmtId="0" fontId="26" fillId="27" borderId="10" xfId="0" applyFont="1" applyFill="1" applyBorder="1" applyAlignment="1">
      <alignment horizontal="center" vertical="center"/>
    </xf>
    <xf numFmtId="0" fontId="26" fillId="27" borderId="1" xfId="0" applyFont="1" applyFill="1" applyBorder="1" applyAlignment="1">
      <alignment vertical="center"/>
    </xf>
    <xf numFmtId="0" fontId="20" fillId="24" borderId="17" xfId="0" applyFont="1" applyFill="1" applyBorder="1"/>
    <xf numFmtId="0" fontId="0" fillId="0" borderId="41" xfId="0" applyBorder="1"/>
    <xf numFmtId="0" fontId="29" fillId="2" borderId="46" xfId="0" applyFont="1" applyFill="1" applyBorder="1"/>
    <xf numFmtId="0" fontId="29" fillId="2" borderId="47" xfId="0" applyFont="1" applyFill="1" applyBorder="1"/>
    <xf numFmtId="0" fontId="0" fillId="27" borderId="52" xfId="0" applyFill="1" applyBorder="1" applyAlignment="1">
      <alignment horizontal="center" vertical="center"/>
    </xf>
    <xf numFmtId="0" fontId="45" fillId="27" borderId="52" xfId="0" applyFont="1" applyFill="1" applyBorder="1" applyAlignment="1">
      <alignment horizontal="left" vertical="center"/>
    </xf>
    <xf numFmtId="0" fontId="0" fillId="27" borderId="52" xfId="0" applyFill="1" applyBorder="1" applyAlignment="1">
      <alignment horizontal="center"/>
    </xf>
    <xf numFmtId="0" fontId="33" fillId="6" borderId="52" xfId="0" applyFont="1" applyFill="1" applyBorder="1" applyAlignment="1">
      <alignment horizontal="center" vertical="center"/>
    </xf>
    <xf numFmtId="0" fontId="0" fillId="27" borderId="54" xfId="0" applyFill="1" applyBorder="1" applyAlignment="1">
      <alignment horizontal="center"/>
    </xf>
    <xf numFmtId="0" fontId="45" fillId="27" borderId="34" xfId="0" applyFont="1" applyFill="1" applyBorder="1" applyAlignment="1">
      <alignment horizontal="left" vertical="center"/>
    </xf>
    <xf numFmtId="0" fontId="45" fillId="27" borderId="35" xfId="0" applyFont="1" applyFill="1" applyBorder="1" applyAlignment="1">
      <alignment horizontal="left" vertical="center"/>
    </xf>
    <xf numFmtId="0" fontId="45" fillId="27" borderId="32" xfId="0" applyFont="1" applyFill="1" applyBorder="1" applyAlignment="1">
      <alignment horizontal="left" vertical="center"/>
    </xf>
    <xf numFmtId="0" fontId="45" fillId="27" borderId="33" xfId="0" applyFont="1" applyFill="1" applyBorder="1" applyAlignment="1">
      <alignment horizontal="left" vertical="center"/>
    </xf>
    <xf numFmtId="0" fontId="45" fillId="27" borderId="43" xfId="0" applyFont="1" applyFill="1" applyBorder="1" applyAlignment="1">
      <alignment horizontal="left" vertical="center"/>
    </xf>
    <xf numFmtId="0" fontId="45" fillId="27" borderId="56" xfId="0" applyFont="1" applyFill="1" applyBorder="1" applyAlignment="1">
      <alignment horizontal="left" vertical="center"/>
    </xf>
    <xf numFmtId="0" fontId="50" fillId="6" borderId="57" xfId="0" applyFont="1" applyFill="1" applyBorder="1" applyAlignment="1">
      <alignment horizontal="left" vertical="center"/>
    </xf>
    <xf numFmtId="0" fontId="50" fillId="6" borderId="59" xfId="0" applyFont="1" applyFill="1" applyBorder="1" applyAlignment="1">
      <alignment horizontal="left" vertical="center"/>
    </xf>
    <xf numFmtId="0" fontId="33" fillId="6" borderId="12" xfId="0" applyFont="1" applyFill="1" applyBorder="1" applyAlignment="1">
      <alignment horizontal="center"/>
    </xf>
    <xf numFmtId="0" fontId="50" fillId="6" borderId="58" xfId="0" applyFont="1" applyFill="1" applyBorder="1" applyAlignment="1">
      <alignment horizontal="left" vertical="center"/>
    </xf>
    <xf numFmtId="0" fontId="28" fillId="0" borderId="0" xfId="0" applyFont="1"/>
    <xf numFmtId="0" fontId="28" fillId="9" borderId="12" xfId="0" applyFont="1" applyFill="1" applyBorder="1" applyAlignment="1">
      <alignment horizontal="center" vertical="center"/>
    </xf>
    <xf numFmtId="0" fontId="51" fillId="9" borderId="12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7" borderId="20" xfId="0" applyFill="1" applyBorder="1" applyAlignment="1">
      <alignment horizontal="center" vertical="center"/>
    </xf>
    <xf numFmtId="0" fontId="0" fillId="0" borderId="36" xfId="0" applyBorder="1" applyAlignment="1">
      <alignment horizontal="center"/>
    </xf>
    <xf numFmtId="0" fontId="50" fillId="6" borderId="3" xfId="0" applyFont="1" applyFill="1" applyBorder="1" applyAlignment="1">
      <alignment horizontal="left" vertical="center"/>
    </xf>
    <xf numFmtId="0" fontId="33" fillId="6" borderId="17" xfId="0" applyFont="1" applyFill="1" applyBorder="1" applyAlignment="1">
      <alignment horizontal="center"/>
    </xf>
    <xf numFmtId="0" fontId="33" fillId="6" borderId="20" xfId="0" applyFont="1" applyFill="1" applyBorder="1" applyAlignment="1">
      <alignment horizontal="center"/>
    </xf>
    <xf numFmtId="0" fontId="33" fillId="6" borderId="20" xfId="0" applyFont="1" applyFill="1" applyBorder="1" applyAlignment="1">
      <alignment horizontal="center" vertical="center"/>
    </xf>
    <xf numFmtId="0" fontId="33" fillId="27" borderId="3" xfId="0" applyFont="1" applyFill="1" applyBorder="1" applyAlignment="1">
      <alignment horizontal="center" vertical="center"/>
    </xf>
    <xf numFmtId="0" fontId="33" fillId="27" borderId="2" xfId="0" applyFont="1" applyFill="1" applyBorder="1" applyAlignment="1">
      <alignment horizontal="center" vertical="center"/>
    </xf>
    <xf numFmtId="0" fontId="33" fillId="27" borderId="12" xfId="0" applyFont="1" applyFill="1" applyBorder="1" applyAlignment="1">
      <alignment horizontal="center" vertical="center"/>
    </xf>
    <xf numFmtId="0" fontId="33" fillId="27" borderId="52" xfId="0" applyFont="1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28" fillId="3" borderId="17" xfId="0" applyFont="1" applyFill="1" applyBorder="1" applyAlignment="1">
      <alignment horizontal="center" vertical="center"/>
    </xf>
    <xf numFmtId="0" fontId="28" fillId="3" borderId="17" xfId="0" applyFont="1" applyFill="1" applyBorder="1" applyAlignment="1">
      <alignment horizontal="center" vertical="center" wrapText="1"/>
    </xf>
    <xf numFmtId="0" fontId="28" fillId="31" borderId="17" xfId="0" applyFont="1" applyFill="1" applyBorder="1" applyAlignment="1">
      <alignment horizontal="center" vertical="center"/>
    </xf>
    <xf numFmtId="0" fontId="51" fillId="31" borderId="17" xfId="0" applyFont="1" applyFill="1" applyBorder="1" applyAlignment="1">
      <alignment horizontal="center" vertical="center" wrapText="1"/>
    </xf>
    <xf numFmtId="0" fontId="0" fillId="27" borderId="30" xfId="0" applyFill="1" applyBorder="1" applyAlignment="1">
      <alignment horizontal="center" vertical="center"/>
    </xf>
    <xf numFmtId="0" fontId="0" fillId="0" borderId="1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7" borderId="14" xfId="0" applyFill="1" applyBorder="1" applyAlignment="1">
      <alignment horizontal="center" vertical="center"/>
    </xf>
    <xf numFmtId="0" fontId="0" fillId="27" borderId="16" xfId="0" applyFill="1" applyBorder="1" applyAlignment="1">
      <alignment horizontal="center" vertical="center"/>
    </xf>
    <xf numFmtId="0" fontId="0" fillId="27" borderId="7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5" xfId="0" applyBorder="1" applyAlignment="1">
      <alignment horizontal="center"/>
    </xf>
    <xf numFmtId="0" fontId="28" fillId="27" borderId="17" xfId="0" applyFont="1" applyFill="1" applyBorder="1" applyAlignment="1">
      <alignment horizontal="center" vertical="center"/>
    </xf>
    <xf numFmtId="0" fontId="0" fillId="31" borderId="0" xfId="0" applyFill="1" applyAlignment="1">
      <alignment horizontal="center"/>
    </xf>
    <xf numFmtId="0" fontId="0" fillId="27" borderId="39" xfId="0" applyFill="1" applyBorder="1" applyAlignment="1">
      <alignment horizontal="center" vertical="center"/>
    </xf>
    <xf numFmtId="0" fontId="0" fillId="27" borderId="5" xfId="0" applyFill="1" applyBorder="1"/>
    <xf numFmtId="0" fontId="0" fillId="27" borderId="11" xfId="0" applyFill="1" applyBorder="1"/>
    <xf numFmtId="0" fontId="0" fillId="27" borderId="7" xfId="0" applyFill="1" applyBorder="1"/>
    <xf numFmtId="0" fontId="0" fillId="27" borderId="42" xfId="0" applyFill="1" applyBorder="1"/>
    <xf numFmtId="0" fontId="0" fillId="27" borderId="37" xfId="0" applyFill="1" applyBorder="1"/>
    <xf numFmtId="0" fontId="0" fillId="27" borderId="17" xfId="0" applyFill="1" applyBorder="1"/>
    <xf numFmtId="0" fontId="0" fillId="27" borderId="52" xfId="0" applyFill="1" applyBorder="1"/>
    <xf numFmtId="0" fontId="0" fillId="0" borderId="12" xfId="0" applyBorder="1" applyAlignment="1">
      <alignment horizontal="center" vertical="center"/>
    </xf>
    <xf numFmtId="0" fontId="26" fillId="31" borderId="12" xfId="0" applyFont="1" applyFill="1" applyBorder="1" applyAlignment="1">
      <alignment horizontal="center"/>
    </xf>
    <xf numFmtId="0" fontId="26" fillId="31" borderId="3" xfId="0" applyFont="1" applyFill="1" applyBorder="1" applyAlignment="1">
      <alignment horizontal="center"/>
    </xf>
    <xf numFmtId="0" fontId="26" fillId="31" borderId="1" xfId="0" applyFont="1" applyFill="1" applyBorder="1" applyAlignment="1">
      <alignment vertical="center"/>
    </xf>
    <xf numFmtId="0" fontId="26" fillId="31" borderId="13" xfId="0" applyFont="1" applyFill="1" applyBorder="1" applyAlignment="1">
      <alignment horizontal="center"/>
    </xf>
    <xf numFmtId="0" fontId="15" fillId="3" borderId="12" xfId="0" applyFont="1" applyFill="1" applyBorder="1"/>
    <xf numFmtId="0" fontId="15" fillId="25" borderId="12" xfId="0" applyFont="1" applyFill="1" applyBorder="1"/>
    <xf numFmtId="0" fontId="15" fillId="27" borderId="12" xfId="0" applyFont="1" applyFill="1" applyBorder="1"/>
    <xf numFmtId="0" fontId="15" fillId="7" borderId="12" xfId="0" applyFont="1" applyFill="1" applyBorder="1"/>
    <xf numFmtId="0" fontId="0" fillId="27" borderId="67" xfId="0" applyFill="1" applyBorder="1" applyAlignment="1">
      <alignment horizontal="center"/>
    </xf>
    <xf numFmtId="0" fontId="15" fillId="27" borderId="12" xfId="0" applyFont="1" applyFill="1" applyBorder="1" applyAlignment="1">
      <alignment horizontal="center" vertical="center"/>
    </xf>
    <xf numFmtId="0" fontId="0" fillId="0" borderId="67" xfId="0" applyBorder="1" applyAlignment="1">
      <alignment horizontal="center"/>
    </xf>
    <xf numFmtId="0" fontId="19" fillId="55" borderId="12" xfId="26" applyFont="1" applyFill="1" applyBorder="1" applyAlignment="1">
      <alignment horizontal="center" vertical="center"/>
    </xf>
    <xf numFmtId="0" fontId="19" fillId="54" borderId="12" xfId="26" applyFont="1" applyFill="1" applyBorder="1" applyAlignment="1">
      <alignment horizontal="center" vertical="center"/>
    </xf>
    <xf numFmtId="0" fontId="19" fillId="21" borderId="12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60" borderId="12" xfId="26" applyFont="1" applyFill="1" applyBorder="1" applyAlignment="1">
      <alignment horizontal="center" vertical="center"/>
    </xf>
    <xf numFmtId="0" fontId="15" fillId="27" borderId="3" xfId="0" applyFont="1" applyFill="1" applyBorder="1"/>
    <xf numFmtId="0" fontId="15" fillId="27" borderId="12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49" fillId="0" borderId="0" xfId="0" applyFont="1" applyAlignment="1">
      <alignment horizontal="center" vertical="center" wrapText="1"/>
    </xf>
    <xf numFmtId="0" fontId="33" fillId="6" borderId="72" xfId="0" applyFont="1" applyFill="1" applyBorder="1" applyAlignment="1">
      <alignment horizontal="center" vertical="center"/>
    </xf>
    <xf numFmtId="0" fontId="33" fillId="75" borderId="1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1" fillId="27" borderId="12" xfId="0" applyFont="1" applyFill="1" applyBorder="1" applyAlignment="1">
      <alignment vertical="center" wrapText="1"/>
    </xf>
    <xf numFmtId="0" fontId="21" fillId="27" borderId="12" xfId="0" applyFont="1" applyFill="1" applyBorder="1" applyAlignment="1">
      <alignment horizontal="left" vertical="center" wrapText="1"/>
    </xf>
    <xf numFmtId="0" fontId="14" fillId="0" borderId="0" xfId="0" applyFont="1"/>
    <xf numFmtId="0" fontId="14" fillId="0" borderId="0" xfId="0" applyFont="1" applyAlignment="1">
      <alignment horizontal="center" vertical="center"/>
    </xf>
    <xf numFmtId="0" fontId="14" fillId="0" borderId="12" xfId="0" applyFont="1" applyBorder="1"/>
    <xf numFmtId="0" fontId="14" fillId="0" borderId="12" xfId="0" applyFont="1" applyBorder="1" applyAlignment="1">
      <alignment horizontal="center" vertical="center"/>
    </xf>
    <xf numFmtId="0" fontId="33" fillId="6" borderId="52" xfId="0" applyFont="1" applyFill="1" applyBorder="1" applyAlignment="1">
      <alignment horizontal="center"/>
    </xf>
    <xf numFmtId="0" fontId="33" fillId="6" borderId="21" xfId="0" applyFont="1" applyFill="1" applyBorder="1" applyAlignment="1">
      <alignment horizontal="center" vertical="center"/>
    </xf>
    <xf numFmtId="0" fontId="33" fillId="6" borderId="3" xfId="0" applyFont="1" applyFill="1" applyBorder="1" applyAlignment="1">
      <alignment horizontal="center"/>
    </xf>
    <xf numFmtId="0" fontId="50" fillId="6" borderId="20" xfId="0" applyFont="1" applyFill="1" applyBorder="1" applyAlignment="1">
      <alignment horizontal="center" vertical="center"/>
    </xf>
    <xf numFmtId="0" fontId="0" fillId="3" borderId="0" xfId="0" applyFill="1"/>
    <xf numFmtId="0" fontId="50" fillId="6" borderId="52" xfId="0" applyFont="1" applyFill="1" applyBorder="1" applyAlignment="1">
      <alignment horizontal="center" vertical="center"/>
    </xf>
    <xf numFmtId="0" fontId="0" fillId="27" borderId="21" xfId="0" applyFill="1" applyBorder="1" applyAlignment="1">
      <alignment horizontal="center" vertical="center"/>
    </xf>
    <xf numFmtId="0" fontId="50" fillId="6" borderId="21" xfId="0" applyFont="1" applyFill="1" applyBorder="1" applyAlignment="1">
      <alignment horizontal="center" vertical="center"/>
    </xf>
    <xf numFmtId="0" fontId="50" fillId="6" borderId="73" xfId="0" applyFont="1" applyFill="1" applyBorder="1" applyAlignment="1">
      <alignment horizontal="center" vertical="center"/>
    </xf>
    <xf numFmtId="0" fontId="50" fillId="27" borderId="12" xfId="0" applyFont="1" applyFill="1" applyBorder="1" applyAlignment="1">
      <alignment horizontal="center" vertical="center"/>
    </xf>
    <xf numFmtId="0" fontId="50" fillId="27" borderId="17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23" borderId="17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2" xfId="0" applyBorder="1" applyAlignment="1">
      <alignment horizontal="center"/>
    </xf>
    <xf numFmtId="49" fontId="0" fillId="27" borderId="20" xfId="0" applyNumberFormat="1" applyFill="1" applyBorder="1" applyAlignment="1">
      <alignment horizontal="center"/>
    </xf>
    <xf numFmtId="49" fontId="0" fillId="27" borderId="3" xfId="0" applyNumberFormat="1" applyFill="1" applyBorder="1" applyAlignment="1">
      <alignment horizontal="center"/>
    </xf>
    <xf numFmtId="0" fontId="24" fillId="23" borderId="12" xfId="0" applyFont="1" applyFill="1" applyBorder="1" applyAlignment="1">
      <alignment horizontal="center"/>
    </xf>
    <xf numFmtId="0" fontId="0" fillId="78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20" borderId="20" xfId="0" applyFill="1" applyBorder="1" applyAlignment="1">
      <alignment horizontal="center"/>
    </xf>
    <xf numFmtId="0" fontId="54" fillId="67" borderId="5" xfId="0" applyFont="1" applyFill="1" applyBorder="1"/>
    <xf numFmtId="0" fontId="54" fillId="67" borderId="0" xfId="0" applyFont="1" applyFill="1" applyAlignment="1">
      <alignment horizontal="center"/>
    </xf>
    <xf numFmtId="0" fontId="54" fillId="67" borderId="3" xfId="0" applyFont="1" applyFill="1" applyBorder="1" applyAlignment="1">
      <alignment horizontal="center"/>
    </xf>
    <xf numFmtId="0" fontId="54" fillId="67" borderId="23" xfId="0" applyFont="1" applyFill="1" applyBorder="1" applyAlignment="1">
      <alignment horizontal="center"/>
    </xf>
    <xf numFmtId="0" fontId="33" fillId="27" borderId="13" xfId="0" applyFont="1" applyFill="1" applyBorder="1"/>
    <xf numFmtId="0" fontId="44" fillId="27" borderId="13" xfId="0" applyFont="1" applyFill="1" applyBorder="1"/>
    <xf numFmtId="0" fontId="33" fillId="27" borderId="9" xfId="0" applyFont="1" applyFill="1" applyBorder="1"/>
    <xf numFmtId="0" fontId="33" fillId="27" borderId="5" xfId="0" applyFont="1" applyFill="1" applyBorder="1"/>
    <xf numFmtId="0" fontId="33" fillId="0" borderId="17" xfId="0" applyFont="1" applyBorder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7" borderId="29" xfId="0" applyFill="1" applyBorder="1" applyAlignment="1">
      <alignment horizontal="center"/>
    </xf>
    <xf numFmtId="0" fontId="19" fillId="62" borderId="12" xfId="26" applyFont="1" applyFill="1" applyBorder="1" applyAlignment="1">
      <alignment horizontal="center" vertical="center"/>
    </xf>
    <xf numFmtId="0" fontId="12" fillId="50" borderId="12" xfId="0" applyFont="1" applyFill="1" applyBorder="1"/>
    <xf numFmtId="0" fontId="26" fillId="27" borderId="12" xfId="0" applyFont="1" applyFill="1" applyBorder="1" applyAlignment="1">
      <alignment vertical="center"/>
    </xf>
    <xf numFmtId="0" fontId="45" fillId="27" borderId="77" xfId="0" applyFont="1" applyFill="1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27" borderId="21" xfId="0" applyFill="1" applyBorder="1" applyAlignment="1">
      <alignment horizontal="center"/>
    </xf>
    <xf numFmtId="0" fontId="0" fillId="80" borderId="3" xfId="0" applyFill="1" applyBorder="1"/>
    <xf numFmtId="0" fontId="0" fillId="80" borderId="12" xfId="0" applyFill="1" applyBorder="1"/>
    <xf numFmtId="0" fontId="50" fillId="6" borderId="2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/>
    </xf>
    <xf numFmtId="0" fontId="33" fillId="6" borderId="83" xfId="0" applyFont="1" applyFill="1" applyBorder="1" applyAlignment="1">
      <alignment horizontal="center" vertical="center"/>
    </xf>
    <xf numFmtId="0" fontId="33" fillId="6" borderId="5" xfId="0" applyFont="1" applyFill="1" applyBorder="1" applyAlignment="1">
      <alignment horizontal="center" vertical="center"/>
    </xf>
    <xf numFmtId="0" fontId="0" fillId="27" borderId="83" xfId="0" applyFill="1" applyBorder="1" applyAlignment="1">
      <alignment horizontal="center" vertical="center"/>
    </xf>
    <xf numFmtId="0" fontId="33" fillId="31" borderId="12" xfId="0" applyFont="1" applyFill="1" applyBorder="1" applyAlignment="1">
      <alignment horizontal="center" vertical="center"/>
    </xf>
    <xf numFmtId="0" fontId="39" fillId="31" borderId="12" xfId="0" applyFont="1" applyFill="1" applyBorder="1" applyAlignment="1">
      <alignment horizontal="center" vertical="center"/>
    </xf>
    <xf numFmtId="0" fontId="43" fillId="31" borderId="12" xfId="0" applyFont="1" applyFill="1" applyBorder="1" applyAlignment="1">
      <alignment horizontal="center" vertical="center"/>
    </xf>
    <xf numFmtId="0" fontId="28" fillId="33" borderId="12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 wrapText="1"/>
    </xf>
    <xf numFmtId="0" fontId="26" fillId="93" borderId="12" xfId="0" applyFont="1" applyFill="1" applyBorder="1" applyAlignment="1">
      <alignment horizontal="center" vertical="center"/>
    </xf>
    <xf numFmtId="0" fontId="11" fillId="0" borderId="0" xfId="29" applyAlignment="1">
      <alignment horizontal="center" vertical="center"/>
    </xf>
    <xf numFmtId="0" fontId="33" fillId="0" borderId="0" xfId="29" applyFont="1" applyAlignment="1">
      <alignment horizontal="center" vertical="center"/>
    </xf>
    <xf numFmtId="0" fontId="49" fillId="72" borderId="12" xfId="29" applyFont="1" applyFill="1" applyBorder="1" applyAlignment="1">
      <alignment horizontal="center" vertical="center"/>
    </xf>
    <xf numFmtId="0" fontId="33" fillId="0" borderId="12" xfId="29" applyFont="1" applyBorder="1" applyAlignment="1">
      <alignment horizontal="center" vertical="center"/>
    </xf>
    <xf numFmtId="0" fontId="53" fillId="67" borderId="12" xfId="29" applyFont="1" applyFill="1" applyBorder="1" applyAlignment="1">
      <alignment horizontal="center" vertical="center" wrapText="1"/>
    </xf>
    <xf numFmtId="0" fontId="53" fillId="67" borderId="12" xfId="29" applyFont="1" applyFill="1" applyBorder="1" applyAlignment="1">
      <alignment horizontal="center" vertical="center"/>
    </xf>
    <xf numFmtId="0" fontId="49" fillId="0" borderId="12" xfId="29" applyFont="1" applyBorder="1" applyAlignment="1">
      <alignment horizontal="center" vertical="center" wrapText="1"/>
    </xf>
    <xf numFmtId="0" fontId="33" fillId="74" borderId="12" xfId="29" applyFont="1" applyFill="1" applyBorder="1" applyAlignment="1">
      <alignment horizontal="center" vertical="center"/>
    </xf>
    <xf numFmtId="0" fontId="33" fillId="23" borderId="12" xfId="29" applyFont="1" applyFill="1" applyBorder="1" applyAlignment="1">
      <alignment horizontal="center" vertical="center" wrapText="1"/>
    </xf>
    <xf numFmtId="0" fontId="33" fillId="75" borderId="12" xfId="29" applyFont="1" applyFill="1" applyBorder="1" applyAlignment="1">
      <alignment horizontal="center" vertical="center" wrapText="1"/>
    </xf>
    <xf numFmtId="0" fontId="33" fillId="23" borderId="12" xfId="29" applyFont="1" applyFill="1" applyBorder="1" applyAlignment="1">
      <alignment horizontal="center" vertical="center"/>
    </xf>
    <xf numFmtId="0" fontId="33" fillId="75" borderId="12" xfId="29" applyFont="1" applyFill="1" applyBorder="1" applyAlignment="1">
      <alignment horizontal="center" vertical="center"/>
    </xf>
    <xf numFmtId="0" fontId="33" fillId="95" borderId="12" xfId="29" applyFont="1" applyFill="1" applyBorder="1" applyAlignment="1">
      <alignment horizontal="center" vertical="center"/>
    </xf>
    <xf numFmtId="0" fontId="33" fillId="0" borderId="12" xfId="29" applyFont="1" applyBorder="1" applyAlignment="1">
      <alignment horizontal="center" vertical="center" wrapText="1"/>
    </xf>
    <xf numFmtId="0" fontId="33" fillId="96" borderId="12" xfId="29" applyFont="1" applyFill="1" applyBorder="1" applyAlignment="1">
      <alignment horizontal="center" vertical="center"/>
    </xf>
    <xf numFmtId="0" fontId="33" fillId="73" borderId="12" xfId="29" applyFont="1" applyFill="1" applyBorder="1" applyAlignment="1">
      <alignment horizontal="center" vertical="center"/>
    </xf>
    <xf numFmtId="0" fontId="33" fillId="79" borderId="12" xfId="29" applyFont="1" applyFill="1" applyBorder="1" applyAlignment="1">
      <alignment horizontal="center" vertical="center"/>
    </xf>
    <xf numFmtId="0" fontId="33" fillId="16" borderId="12" xfId="29" applyFont="1" applyFill="1" applyBorder="1" applyAlignment="1">
      <alignment horizontal="center" vertical="center"/>
    </xf>
    <xf numFmtId="0" fontId="27" fillId="2" borderId="12" xfId="0" applyFont="1" applyFill="1" applyBorder="1" applyAlignment="1">
      <alignment horizontal="center" vertical="center"/>
    </xf>
    <xf numFmtId="0" fontId="33" fillId="3" borderId="12" xfId="29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3" fillId="6" borderId="79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50" fillId="6" borderId="3" xfId="0" applyFont="1" applyFill="1" applyBorder="1" applyAlignment="1">
      <alignment horizontal="center" vertical="center"/>
    </xf>
    <xf numFmtId="0" fontId="0" fillId="27" borderId="79" xfId="0" applyFill="1" applyBorder="1" applyAlignment="1">
      <alignment horizontal="center" vertical="center"/>
    </xf>
    <xf numFmtId="0" fontId="11" fillId="0" borderId="0" xfId="29" applyAlignment="1">
      <alignment horizontal="center" vertical="center" wrapText="1"/>
    </xf>
    <xf numFmtId="0" fontId="33" fillId="6" borderId="80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 wrapText="1"/>
    </xf>
    <xf numFmtId="0" fontId="19" fillId="11" borderId="12" xfId="0" applyFont="1" applyFill="1" applyBorder="1" applyAlignment="1">
      <alignment horizontal="center" vertical="center"/>
    </xf>
    <xf numFmtId="0" fontId="19" fillId="35" borderId="12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9" fillId="30" borderId="12" xfId="0" applyFont="1" applyFill="1" applyBorder="1" applyAlignment="1">
      <alignment horizontal="center" vertical="center"/>
    </xf>
    <xf numFmtId="0" fontId="19" fillId="98" borderId="12" xfId="0" applyFont="1" applyFill="1" applyBorder="1" applyAlignment="1">
      <alignment horizontal="center" vertical="center"/>
    </xf>
    <xf numFmtId="0" fontId="19" fillId="103" borderId="12" xfId="0" applyFont="1" applyFill="1" applyBorder="1" applyAlignment="1">
      <alignment horizontal="center" vertical="center"/>
    </xf>
    <xf numFmtId="0" fontId="19" fillId="99" borderId="12" xfId="0" applyFont="1" applyFill="1" applyBorder="1" applyAlignment="1">
      <alignment horizontal="center" vertical="center"/>
    </xf>
    <xf numFmtId="0" fontId="19" fillId="22" borderId="12" xfId="0" applyFont="1" applyFill="1" applyBorder="1" applyAlignment="1">
      <alignment horizontal="center" vertical="center"/>
    </xf>
    <xf numFmtId="0" fontId="19" fillId="25" borderId="12" xfId="0" applyFont="1" applyFill="1" applyBorder="1" applyAlignment="1">
      <alignment horizontal="center" vertical="center"/>
    </xf>
    <xf numFmtId="0" fontId="0" fillId="27" borderId="82" xfId="0" applyFill="1" applyBorder="1" applyAlignment="1">
      <alignment horizontal="center"/>
    </xf>
    <xf numFmtId="0" fontId="0" fillId="27" borderId="83" xfId="0" applyFill="1" applyBorder="1" applyAlignment="1">
      <alignment horizontal="center"/>
    </xf>
    <xf numFmtId="0" fontId="0" fillId="27" borderId="81" xfId="0" applyFill="1" applyBorder="1" applyAlignment="1">
      <alignment horizontal="center"/>
    </xf>
    <xf numFmtId="0" fontId="0" fillId="17" borderId="12" xfId="0" applyFill="1" applyBorder="1" applyAlignment="1">
      <alignment horizontal="center" vertical="center"/>
    </xf>
    <xf numFmtId="0" fontId="0" fillId="101" borderId="12" xfId="0" applyFill="1" applyBorder="1" applyAlignment="1">
      <alignment horizontal="center" vertical="center"/>
    </xf>
    <xf numFmtId="0" fontId="28" fillId="14" borderId="12" xfId="0" applyFont="1" applyFill="1" applyBorder="1" applyAlignment="1">
      <alignment horizontal="center" vertical="center"/>
    </xf>
    <xf numFmtId="0" fontId="10" fillId="14" borderId="12" xfId="0" applyFont="1" applyFill="1" applyBorder="1" applyAlignment="1">
      <alignment horizontal="center" vertical="center"/>
    </xf>
    <xf numFmtId="0" fontId="20" fillId="2" borderId="79" xfId="0" applyFont="1" applyFill="1" applyBorder="1"/>
    <xf numFmtId="0" fontId="20" fillId="2" borderId="86" xfId="0" applyFont="1" applyFill="1" applyBorder="1" applyAlignment="1">
      <alignment horizontal="center"/>
    </xf>
    <xf numFmtId="0" fontId="20" fillId="2" borderId="79" xfId="0" applyFont="1" applyFill="1" applyBorder="1" applyAlignment="1">
      <alignment horizontal="center"/>
    </xf>
    <xf numFmtId="0" fontId="10" fillId="27" borderId="39" xfId="0" applyFont="1" applyFill="1" applyBorder="1"/>
    <xf numFmtId="0" fontId="10" fillId="27" borderId="39" xfId="0" applyFont="1" applyFill="1" applyBorder="1" applyAlignment="1">
      <alignment horizontal="center" vertical="center"/>
    </xf>
    <xf numFmtId="0" fontId="33" fillId="27" borderId="79" xfId="0" applyFont="1" applyFill="1" applyBorder="1" applyAlignment="1">
      <alignment horizontal="center" vertical="center"/>
    </xf>
    <xf numFmtId="0" fontId="0" fillId="27" borderId="79" xfId="0" applyFill="1" applyBorder="1" applyAlignment="1">
      <alignment horizontal="center"/>
    </xf>
    <xf numFmtId="0" fontId="0" fillId="0" borderId="81" xfId="0" applyBorder="1" applyAlignment="1">
      <alignment horizontal="center"/>
    </xf>
    <xf numFmtId="0" fontId="33" fillId="27" borderId="20" xfId="0" applyFont="1" applyFill="1" applyBorder="1" applyAlignment="1">
      <alignment horizontal="center" vertical="center"/>
    </xf>
    <xf numFmtId="0" fontId="10" fillId="27" borderId="3" xfId="0" applyFont="1" applyFill="1" applyBorder="1" applyAlignment="1">
      <alignment horizontal="center" vertical="center"/>
    </xf>
    <xf numFmtId="0" fontId="10" fillId="27" borderId="17" xfId="0" applyFont="1" applyFill="1" applyBorder="1" applyAlignment="1">
      <alignment horizontal="center" vertical="center"/>
    </xf>
    <xf numFmtId="0" fontId="10" fillId="27" borderId="2" xfId="0" applyFont="1" applyFill="1" applyBorder="1" applyAlignment="1">
      <alignment horizontal="center" vertical="center"/>
    </xf>
    <xf numFmtId="0" fontId="50" fillId="6" borderId="83" xfId="0" applyFont="1" applyFill="1" applyBorder="1" applyAlignment="1">
      <alignment horizontal="center" vertical="center"/>
    </xf>
    <xf numFmtId="0" fontId="33" fillId="27" borderId="83" xfId="0" applyFont="1" applyFill="1" applyBorder="1" applyAlignment="1">
      <alignment horizontal="center" vertical="center"/>
    </xf>
    <xf numFmtId="0" fontId="0" fillId="27" borderId="80" xfId="0" applyFill="1" applyBorder="1"/>
    <xf numFmtId="0" fontId="10" fillId="27" borderId="83" xfId="0" applyFont="1" applyFill="1" applyBorder="1" applyAlignment="1">
      <alignment horizontal="center" vertical="center"/>
    </xf>
    <xf numFmtId="0" fontId="45" fillId="27" borderId="90" xfId="0" applyFont="1" applyFill="1" applyBorder="1" applyAlignment="1">
      <alignment horizontal="left" vertical="center"/>
    </xf>
    <xf numFmtId="0" fontId="10" fillId="27" borderId="8" xfId="0" applyFont="1" applyFill="1" applyBorder="1" applyAlignment="1">
      <alignment horizontal="center" vertical="center"/>
    </xf>
    <xf numFmtId="0" fontId="10" fillId="27" borderId="11" xfId="0" applyFont="1" applyFill="1" applyBorder="1"/>
    <xf numFmtId="0" fontId="10" fillId="27" borderId="12" xfId="0" applyFont="1" applyFill="1" applyBorder="1" applyAlignment="1">
      <alignment horizontal="center" vertical="center"/>
    </xf>
    <xf numFmtId="0" fontId="10" fillId="27" borderId="7" xfId="0" applyFont="1" applyFill="1" applyBorder="1"/>
    <xf numFmtId="0" fontId="0" fillId="27" borderId="91" xfId="0" applyFill="1" applyBorder="1"/>
    <xf numFmtId="0" fontId="0" fillId="27" borderId="80" xfId="0" applyFill="1" applyBorder="1" applyAlignment="1">
      <alignment horizontal="center"/>
    </xf>
    <xf numFmtId="0" fontId="0" fillId="0" borderId="83" xfId="0" applyBorder="1" applyAlignment="1">
      <alignment horizontal="center"/>
    </xf>
    <xf numFmtId="0" fontId="50" fillId="6" borderId="93" xfId="0" applyFont="1" applyFill="1" applyBorder="1" applyAlignment="1">
      <alignment horizontal="left" vertical="center"/>
    </xf>
    <xf numFmtId="0" fontId="0" fillId="27" borderId="78" xfId="0" applyFill="1" applyBorder="1" applyAlignment="1">
      <alignment horizontal="center"/>
    </xf>
    <xf numFmtId="0" fontId="0" fillId="0" borderId="89" xfId="0" applyBorder="1" applyAlignment="1">
      <alignment horizontal="center" vertical="center"/>
    </xf>
    <xf numFmtId="0" fontId="33" fillId="27" borderId="29" xfId="0" applyFont="1" applyFill="1" applyBorder="1"/>
    <xf numFmtId="0" fontId="33" fillId="6" borderId="29" xfId="0" applyFont="1" applyFill="1" applyBorder="1" applyAlignment="1">
      <alignment horizontal="center" vertical="center"/>
    </xf>
    <xf numFmtId="0" fontId="33" fillId="27" borderId="37" xfId="0" applyFont="1" applyFill="1" applyBorder="1"/>
    <xf numFmtId="0" fontId="0" fillId="27" borderId="83" xfId="0" applyFill="1" applyBorder="1"/>
    <xf numFmtId="0" fontId="10" fillId="27" borderId="52" xfId="0" applyFont="1" applyFill="1" applyBorder="1"/>
    <xf numFmtId="0" fontId="10" fillId="27" borderId="52" xfId="0" applyFont="1" applyFill="1" applyBorder="1" applyAlignment="1">
      <alignment horizontal="center" vertical="center"/>
    </xf>
    <xf numFmtId="0" fontId="10" fillId="27" borderId="3" xfId="0" applyFont="1" applyFill="1" applyBorder="1" applyAlignment="1">
      <alignment horizontal="center"/>
    </xf>
    <xf numFmtId="0" fontId="33" fillId="6" borderId="37" xfId="0" applyFont="1" applyFill="1" applyBorder="1" applyAlignment="1">
      <alignment horizontal="center" vertical="center"/>
    </xf>
    <xf numFmtId="0" fontId="45" fillId="27" borderId="83" xfId="0" applyFont="1" applyFill="1" applyBorder="1" applyAlignment="1">
      <alignment horizontal="left" vertical="center"/>
    </xf>
    <xf numFmtId="0" fontId="10" fillId="27" borderId="12" xfId="0" applyFont="1" applyFill="1" applyBorder="1" applyAlignment="1">
      <alignment horizontal="center"/>
    </xf>
    <xf numFmtId="0" fontId="33" fillId="27" borderId="2" xfId="0" applyFont="1" applyFill="1" applyBorder="1"/>
    <xf numFmtId="0" fontId="10" fillId="27" borderId="79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33" fillId="27" borderId="79" xfId="0" applyFont="1" applyFill="1" applyBorder="1" applyAlignment="1">
      <alignment horizontal="left" vertical="center"/>
    </xf>
    <xf numFmtId="0" fontId="50" fillId="6" borderId="79" xfId="0" applyFont="1" applyFill="1" applyBorder="1" applyAlignment="1">
      <alignment horizontal="left" vertical="center"/>
    </xf>
    <xf numFmtId="0" fontId="33" fillId="27" borderId="83" xfId="0" applyFont="1" applyFill="1" applyBorder="1" applyAlignment="1">
      <alignment horizontal="left" vertical="center"/>
    </xf>
    <xf numFmtId="0" fontId="50" fillId="6" borderId="83" xfId="0" applyFont="1" applyFill="1" applyBorder="1" applyAlignment="1">
      <alignment horizontal="left" vertical="center"/>
    </xf>
    <xf numFmtId="0" fontId="33" fillId="27" borderId="3" xfId="0" applyFont="1" applyFill="1" applyBorder="1" applyAlignment="1">
      <alignment horizontal="left" vertical="center"/>
    </xf>
    <xf numFmtId="0" fontId="0" fillId="27" borderId="82" xfId="0" applyFill="1" applyBorder="1" applyAlignment="1">
      <alignment horizontal="center" vertical="center"/>
    </xf>
    <xf numFmtId="0" fontId="33" fillId="0" borderId="11" xfId="0" applyFont="1" applyBorder="1"/>
    <xf numFmtId="0" fontId="33" fillId="0" borderId="7" xfId="0" applyFont="1" applyBorder="1"/>
    <xf numFmtId="0" fontId="33" fillId="0" borderId="5" xfId="0" applyFont="1" applyBorder="1"/>
    <xf numFmtId="0" fontId="33" fillId="27" borderId="6" xfId="0" applyFont="1" applyFill="1" applyBorder="1"/>
    <xf numFmtId="0" fontId="33" fillId="6" borderId="17" xfId="0" applyFont="1" applyFill="1" applyBorder="1" applyAlignment="1">
      <alignment horizontal="center" vertical="center"/>
    </xf>
    <xf numFmtId="0" fontId="33" fillId="27" borderId="91" xfId="0" applyFont="1" applyFill="1" applyBorder="1"/>
    <xf numFmtId="0" fontId="33" fillId="27" borderId="81" xfId="0" applyFont="1" applyFill="1" applyBorder="1"/>
    <xf numFmtId="0" fontId="0" fillId="27" borderId="45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27" borderId="67" xfId="0" applyFill="1" applyBorder="1" applyAlignment="1">
      <alignment horizontal="center" vertical="center"/>
    </xf>
    <xf numFmtId="0" fontId="0" fillId="0" borderId="89" xfId="0" applyBorder="1" applyAlignment="1">
      <alignment horizontal="center"/>
    </xf>
    <xf numFmtId="0" fontId="0" fillId="27" borderId="54" xfId="0" applyFill="1" applyBorder="1" applyAlignment="1">
      <alignment horizontal="center" vertical="center"/>
    </xf>
    <xf numFmtId="0" fontId="33" fillId="27" borderId="3" xfId="0" applyFont="1" applyFill="1" applyBorder="1" applyAlignment="1">
      <alignment horizontal="center"/>
    </xf>
    <xf numFmtId="0" fontId="45" fillId="27" borderId="94" xfId="0" applyFont="1" applyFill="1" applyBorder="1" applyAlignment="1">
      <alignment horizontal="left" vertical="center"/>
    </xf>
    <xf numFmtId="0" fontId="33" fillId="79" borderId="37" xfId="0" applyFont="1" applyFill="1" applyBorder="1" applyAlignment="1">
      <alignment horizontal="center" vertical="center"/>
    </xf>
    <xf numFmtId="0" fontId="50" fillId="79" borderId="71" xfId="0" applyFont="1" applyFill="1" applyBorder="1" applyAlignment="1">
      <alignment horizontal="center" vertical="center"/>
    </xf>
    <xf numFmtId="0" fontId="33" fillId="79" borderId="52" xfId="0" applyFont="1" applyFill="1" applyBorder="1" applyAlignment="1">
      <alignment horizontal="center" vertical="center"/>
    </xf>
    <xf numFmtId="0" fontId="10" fillId="3" borderId="5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/>
    </xf>
    <xf numFmtId="0" fontId="0" fillId="0" borderId="8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19" fillId="27" borderId="12" xfId="0" applyFont="1" applyFill="1" applyBorder="1" applyAlignment="1">
      <alignment horizontal="center" vertical="center" wrapText="1"/>
    </xf>
    <xf numFmtId="0" fontId="0" fillId="30" borderId="12" xfId="0" applyFill="1" applyBorder="1" applyAlignment="1">
      <alignment horizontal="center" vertical="center"/>
    </xf>
    <xf numFmtId="0" fontId="33" fillId="23" borderId="12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15" borderId="12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27" borderId="12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 wrapText="1"/>
    </xf>
    <xf numFmtId="0" fontId="27" fillId="2" borderId="12" xfId="0" applyFont="1" applyFill="1" applyBorder="1" applyAlignment="1">
      <alignment horizontal="center" vertical="center" wrapText="1"/>
    </xf>
    <xf numFmtId="0" fontId="8" fillId="30" borderId="12" xfId="0" applyFont="1" applyFill="1" applyBorder="1" applyAlignment="1">
      <alignment horizontal="center" vertical="center"/>
    </xf>
    <xf numFmtId="0" fontId="19" fillId="8" borderId="12" xfId="0" applyFont="1" applyFill="1" applyBorder="1" applyAlignment="1">
      <alignment horizontal="center" vertical="center"/>
    </xf>
    <xf numFmtId="0" fontId="19" fillId="85" borderId="12" xfId="0" applyFont="1" applyFill="1" applyBorder="1" applyAlignment="1">
      <alignment horizontal="center" vertical="center"/>
    </xf>
    <xf numFmtId="0" fontId="8" fillId="65" borderId="12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4" fillId="55" borderId="12" xfId="26" applyFill="1" applyBorder="1" applyAlignment="1">
      <alignment horizontal="center" vertical="center"/>
    </xf>
    <xf numFmtId="0" fontId="24" fillId="57" borderId="12" xfId="26" applyFill="1" applyBorder="1" applyAlignment="1">
      <alignment horizontal="center" vertical="center"/>
    </xf>
    <xf numFmtId="0" fontId="24" fillId="54" borderId="12" xfId="26" applyFill="1" applyBorder="1" applyAlignment="1">
      <alignment horizontal="center" vertical="center"/>
    </xf>
    <xf numFmtId="0" fontId="24" fillId="58" borderId="12" xfId="26" applyFill="1" applyBorder="1" applyAlignment="1">
      <alignment horizontal="center" vertical="center"/>
    </xf>
    <xf numFmtId="0" fontId="24" fillId="56" borderId="12" xfId="26" applyFill="1" applyBorder="1" applyAlignment="1">
      <alignment horizontal="center" vertical="center"/>
    </xf>
    <xf numFmtId="0" fontId="56" fillId="37" borderId="12" xfId="0" applyFont="1" applyFill="1" applyBorder="1" applyAlignment="1">
      <alignment horizontal="center" vertical="center" wrapText="1"/>
    </xf>
    <xf numFmtId="0" fontId="56" fillId="0" borderId="12" xfId="0" applyFont="1" applyBorder="1" applyAlignment="1">
      <alignment horizontal="center" vertical="center" wrapText="1"/>
    </xf>
    <xf numFmtId="0" fontId="56" fillId="8" borderId="12" xfId="0" applyFont="1" applyFill="1" applyBorder="1" applyAlignment="1">
      <alignment horizontal="center" vertical="center" wrapText="1"/>
    </xf>
    <xf numFmtId="0" fontId="56" fillId="27" borderId="12" xfId="0" applyFont="1" applyFill="1" applyBorder="1" applyAlignment="1">
      <alignment horizontal="center" vertical="center" wrapText="1"/>
    </xf>
    <xf numFmtId="0" fontId="56" fillId="0" borderId="12" xfId="0" applyFont="1" applyBorder="1" applyAlignment="1">
      <alignment horizontal="center" vertical="center"/>
    </xf>
    <xf numFmtId="0" fontId="56" fillId="46" borderId="12" xfId="0" applyFont="1" applyFill="1" applyBorder="1" applyAlignment="1">
      <alignment horizontal="center" vertical="center"/>
    </xf>
    <xf numFmtId="0" fontId="0" fillId="36" borderId="12" xfId="0" applyFill="1" applyBorder="1" applyAlignment="1">
      <alignment horizontal="center" vertical="center"/>
    </xf>
    <xf numFmtId="0" fontId="40" fillId="2" borderId="12" xfId="0" applyFont="1" applyFill="1" applyBorder="1" applyAlignment="1">
      <alignment horizontal="center" vertical="center"/>
    </xf>
    <xf numFmtId="0" fontId="8" fillId="27" borderId="12" xfId="0" applyFont="1" applyFill="1" applyBorder="1" applyAlignment="1">
      <alignment horizontal="center" vertical="center" wrapText="1"/>
    </xf>
    <xf numFmtId="0" fontId="19" fillId="26" borderId="12" xfId="0" applyFont="1" applyFill="1" applyBorder="1" applyAlignment="1">
      <alignment horizontal="center" vertical="center"/>
    </xf>
    <xf numFmtId="0" fontId="24" fillId="0" borderId="12" xfId="26" applyBorder="1" applyAlignment="1">
      <alignment horizontal="center" vertical="center"/>
    </xf>
    <xf numFmtId="0" fontId="24" fillId="62" borderId="12" xfId="26" applyFill="1" applyBorder="1" applyAlignment="1">
      <alignment horizontal="center" vertical="center"/>
    </xf>
    <xf numFmtId="0" fontId="24" fillId="60" borderId="12" xfId="26" applyFill="1" applyBorder="1" applyAlignment="1">
      <alignment horizontal="center" vertical="center"/>
    </xf>
    <xf numFmtId="0" fontId="59" fillId="0" borderId="12" xfId="0" applyFont="1" applyBorder="1" applyAlignment="1">
      <alignment horizontal="center" vertical="center" wrapText="1"/>
    </xf>
    <xf numFmtId="0" fontId="59" fillId="8" borderId="12" xfId="0" applyFont="1" applyFill="1" applyBorder="1" applyAlignment="1">
      <alignment horizontal="center" vertical="center" wrapText="1"/>
    </xf>
    <xf numFmtId="0" fontId="60" fillId="63" borderId="12" xfId="0" applyFont="1" applyFill="1" applyBorder="1" applyAlignment="1">
      <alignment horizontal="center" vertical="center" wrapText="1"/>
    </xf>
    <xf numFmtId="0" fontId="58" fillId="43" borderId="12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56" fillId="14" borderId="12" xfId="0" applyFont="1" applyFill="1" applyBorder="1" applyAlignment="1">
      <alignment horizontal="center" vertical="center" wrapText="1"/>
    </xf>
    <xf numFmtId="0" fontId="56" fillId="29" borderId="12" xfId="0" applyFont="1" applyFill="1" applyBorder="1" applyAlignment="1">
      <alignment horizontal="center" vertical="center" wrapText="1"/>
    </xf>
    <xf numFmtId="0" fontId="56" fillId="20" borderId="12" xfId="0" applyFont="1" applyFill="1" applyBorder="1" applyAlignment="1">
      <alignment horizontal="center" vertical="center" wrapText="1"/>
    </xf>
    <xf numFmtId="0" fontId="56" fillId="0" borderId="0" xfId="0" applyFont="1" applyAlignment="1">
      <alignment horizontal="center" vertical="center" wrapText="1"/>
    </xf>
    <xf numFmtId="0" fontId="8" fillId="31" borderId="12" xfId="0" applyFont="1" applyFill="1" applyBorder="1" applyAlignment="1">
      <alignment horizontal="center" vertical="center"/>
    </xf>
    <xf numFmtId="0" fontId="8" fillId="8" borderId="12" xfId="0" applyFont="1" applyFill="1" applyBorder="1" applyAlignment="1">
      <alignment horizontal="center" vertical="center"/>
    </xf>
    <xf numFmtId="0" fontId="8" fillId="20" borderId="12" xfId="0" applyFont="1" applyFill="1" applyBorder="1" applyAlignment="1">
      <alignment horizontal="center" vertical="center"/>
    </xf>
    <xf numFmtId="0" fontId="19" fillId="20" borderId="12" xfId="0" applyFont="1" applyFill="1" applyBorder="1" applyAlignment="1">
      <alignment horizontal="center" vertical="center"/>
    </xf>
    <xf numFmtId="0" fontId="8" fillId="66" borderId="12" xfId="0" applyFont="1" applyFill="1" applyBorder="1" applyAlignment="1">
      <alignment horizontal="center" vertical="center"/>
    </xf>
    <xf numFmtId="0" fontId="19" fillId="66" borderId="12" xfId="0" applyFont="1" applyFill="1" applyBorder="1" applyAlignment="1">
      <alignment horizontal="center" vertical="center"/>
    </xf>
    <xf numFmtId="0" fontId="8" fillId="33" borderId="12" xfId="0" applyFont="1" applyFill="1" applyBorder="1" applyAlignment="1">
      <alignment horizontal="center" vertical="center" wrapText="1"/>
    </xf>
    <xf numFmtId="0" fontId="8" fillId="71" borderId="12" xfId="0" applyFont="1" applyFill="1" applyBorder="1" applyAlignment="1">
      <alignment horizontal="center" vertical="center"/>
    </xf>
    <xf numFmtId="0" fontId="8" fillId="16" borderId="12" xfId="0" applyFont="1" applyFill="1" applyBorder="1" applyAlignment="1">
      <alignment horizontal="center" vertical="center"/>
    </xf>
    <xf numFmtId="0" fontId="28" fillId="27" borderId="12" xfId="0" applyFont="1" applyFill="1" applyBorder="1" applyAlignment="1">
      <alignment horizontal="center" vertical="center" wrapText="1"/>
    </xf>
    <xf numFmtId="0" fontId="59" fillId="68" borderId="12" xfId="0" applyFont="1" applyFill="1" applyBorder="1" applyAlignment="1">
      <alignment horizontal="center" vertical="center" wrapText="1"/>
    </xf>
    <xf numFmtId="0" fontId="60" fillId="6" borderId="12" xfId="0" applyFont="1" applyFill="1" applyBorder="1" applyAlignment="1">
      <alignment horizontal="center" vertical="center" wrapText="1"/>
    </xf>
    <xf numFmtId="0" fontId="59" fillId="69" borderId="12" xfId="0" applyFont="1" applyFill="1" applyBorder="1" applyAlignment="1">
      <alignment horizontal="center" vertical="center" wrapText="1"/>
    </xf>
    <xf numFmtId="0" fontId="59" fillId="70" borderId="12" xfId="0" applyFont="1" applyFill="1" applyBorder="1" applyAlignment="1">
      <alignment horizontal="center" vertical="center" wrapText="1"/>
    </xf>
    <xf numFmtId="0" fontId="62" fillId="2" borderId="12" xfId="0" applyFont="1" applyFill="1" applyBorder="1" applyAlignment="1">
      <alignment horizontal="center" vertical="center"/>
    </xf>
    <xf numFmtId="0" fontId="63" fillId="27" borderId="12" xfId="0" applyFont="1" applyFill="1" applyBorder="1" applyAlignment="1">
      <alignment horizontal="center" vertical="center"/>
    </xf>
    <xf numFmtId="0" fontId="66" fillId="0" borderId="12" xfId="0" applyFont="1" applyBorder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0" fontId="67" fillId="2" borderId="12" xfId="0" applyFont="1" applyFill="1" applyBorder="1" applyAlignment="1">
      <alignment horizontal="center" vertical="center"/>
    </xf>
    <xf numFmtId="0" fontId="61" fillId="0" borderId="12" xfId="0" applyFont="1" applyBorder="1" applyAlignment="1">
      <alignment horizontal="center" vertical="center"/>
    </xf>
    <xf numFmtId="0" fontId="49" fillId="72" borderId="12" xfId="0" applyFont="1" applyFill="1" applyBorder="1" applyAlignment="1">
      <alignment horizontal="center" vertical="center"/>
    </xf>
    <xf numFmtId="0" fontId="53" fillId="67" borderId="12" xfId="0" applyFont="1" applyFill="1" applyBorder="1" applyAlignment="1">
      <alignment horizontal="center" vertical="center" wrapText="1"/>
    </xf>
    <xf numFmtId="0" fontId="53" fillId="67" borderId="12" xfId="0" applyFont="1" applyFill="1" applyBorder="1" applyAlignment="1">
      <alignment horizontal="center" vertical="center"/>
    </xf>
    <xf numFmtId="0" fontId="49" fillId="0" borderId="12" xfId="0" applyFont="1" applyBorder="1" applyAlignment="1">
      <alignment horizontal="center" vertical="center" wrapText="1"/>
    </xf>
    <xf numFmtId="0" fontId="33" fillId="74" borderId="12" xfId="0" applyFont="1" applyFill="1" applyBorder="1" applyAlignment="1">
      <alignment horizontal="center" vertical="center"/>
    </xf>
    <xf numFmtId="0" fontId="56" fillId="30" borderId="12" xfId="0" applyFont="1" applyFill="1" applyBorder="1" applyAlignment="1">
      <alignment horizontal="center" vertical="center"/>
    </xf>
    <xf numFmtId="0" fontId="61" fillId="30" borderId="12" xfId="0" applyFont="1" applyFill="1" applyBorder="1" applyAlignment="1">
      <alignment horizontal="center" vertical="center"/>
    </xf>
    <xf numFmtId="0" fontId="69" fillId="30" borderId="12" xfId="0" applyFont="1" applyFill="1" applyBorder="1" applyAlignment="1">
      <alignment horizontal="center" vertical="center"/>
    </xf>
    <xf numFmtId="0" fontId="70" fillId="76" borderId="12" xfId="0" applyFont="1" applyFill="1" applyBorder="1" applyAlignment="1">
      <alignment horizontal="center" vertical="center"/>
    </xf>
    <xf numFmtId="0" fontId="70" fillId="77" borderId="12" xfId="0" applyFont="1" applyFill="1" applyBorder="1" applyAlignment="1">
      <alignment horizontal="center" vertical="center"/>
    </xf>
    <xf numFmtId="0" fontId="28" fillId="0" borderId="0" xfId="29" applyFont="1" applyAlignment="1">
      <alignment horizontal="center" vertical="center"/>
    </xf>
    <xf numFmtId="0" fontId="61" fillId="0" borderId="0" xfId="29" applyFont="1" applyAlignment="1">
      <alignment horizontal="center" vertical="center"/>
    </xf>
    <xf numFmtId="0" fontId="70" fillId="77" borderId="12" xfId="29" applyFont="1" applyFill="1" applyBorder="1" applyAlignment="1">
      <alignment horizontal="center" vertical="center"/>
    </xf>
    <xf numFmtId="0" fontId="70" fillId="94" borderId="12" xfId="29" applyFont="1" applyFill="1" applyBorder="1" applyAlignment="1">
      <alignment horizontal="center" vertical="center"/>
    </xf>
    <xf numFmtId="0" fontId="70" fillId="0" borderId="12" xfId="29" applyFont="1" applyBorder="1" applyAlignment="1">
      <alignment horizontal="center" vertical="center"/>
    </xf>
    <xf numFmtId="0" fontId="70" fillId="23" borderId="12" xfId="29" applyFont="1" applyFill="1" applyBorder="1" applyAlignment="1">
      <alignment horizontal="center" vertical="center"/>
    </xf>
    <xf numFmtId="0" fontId="61" fillId="0" borderId="0" xfId="29" applyFont="1" applyAlignment="1">
      <alignment horizontal="center" vertical="center" wrapText="1"/>
    </xf>
    <xf numFmtId="0" fontId="56" fillId="0" borderId="0" xfId="29" applyFont="1" applyAlignment="1">
      <alignment horizontal="center" vertical="center"/>
    </xf>
    <xf numFmtId="0" fontId="57" fillId="0" borderId="0" xfId="29" applyFont="1" applyAlignment="1">
      <alignment horizontal="center" vertical="center"/>
    </xf>
    <xf numFmtId="0" fontId="57" fillId="77" borderId="12" xfId="29" applyFont="1" applyFill="1" applyBorder="1" applyAlignment="1">
      <alignment horizontal="center" vertical="center"/>
    </xf>
    <xf numFmtId="0" fontId="56" fillId="0" borderId="12" xfId="29" applyFont="1" applyBorder="1" applyAlignment="1">
      <alignment horizontal="center" vertical="center"/>
    </xf>
    <xf numFmtId="0" fontId="57" fillId="94" borderId="12" xfId="29" applyFont="1" applyFill="1" applyBorder="1" applyAlignment="1">
      <alignment horizontal="center" vertical="center"/>
    </xf>
    <xf numFmtId="0" fontId="57" fillId="0" borderId="12" xfId="29" applyFont="1" applyBorder="1" applyAlignment="1">
      <alignment horizontal="center" vertical="center"/>
    </xf>
    <xf numFmtId="0" fontId="26" fillId="8" borderId="12" xfId="0" applyFont="1" applyFill="1" applyBorder="1" applyAlignment="1">
      <alignment horizontal="center" vertical="center"/>
    </xf>
    <xf numFmtId="0" fontId="8" fillId="88" borderId="12" xfId="0" applyFont="1" applyFill="1" applyBorder="1" applyAlignment="1">
      <alignment horizontal="center" vertical="center"/>
    </xf>
    <xf numFmtId="0" fontId="8" fillId="89" borderId="12" xfId="0" applyFont="1" applyFill="1" applyBorder="1" applyAlignment="1">
      <alignment horizontal="center" vertical="center"/>
    </xf>
    <xf numFmtId="0" fontId="8" fillId="90" borderId="12" xfId="0" applyFont="1" applyFill="1" applyBorder="1" applyAlignment="1">
      <alignment horizontal="center" vertical="center"/>
    </xf>
    <xf numFmtId="0" fontId="8" fillId="91" borderId="12" xfId="0" applyFont="1" applyFill="1" applyBorder="1" applyAlignment="1">
      <alignment horizontal="center" vertical="center"/>
    </xf>
    <xf numFmtId="0" fontId="8" fillId="92" borderId="12" xfId="0" applyFont="1" applyFill="1" applyBorder="1" applyAlignment="1">
      <alignment horizontal="center" vertical="center"/>
    </xf>
    <xf numFmtId="0" fontId="8" fillId="14" borderId="12" xfId="0" applyFont="1" applyFill="1" applyBorder="1" applyAlignment="1">
      <alignment horizontal="center" vertical="center"/>
    </xf>
    <xf numFmtId="0" fontId="56" fillId="5" borderId="12" xfId="0" applyFont="1" applyFill="1" applyBorder="1" applyAlignment="1">
      <alignment horizontal="center" vertical="center"/>
    </xf>
    <xf numFmtId="0" fontId="26" fillId="81" borderId="12" xfId="0" applyFont="1" applyFill="1" applyBorder="1" applyAlignment="1">
      <alignment horizontal="center" vertical="center"/>
    </xf>
    <xf numFmtId="0" fontId="26" fillId="105" borderId="12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27" borderId="12" xfId="38" applyFont="1" applyFill="1" applyBorder="1" applyAlignment="1">
      <alignment horizontal="center" vertical="center"/>
    </xf>
    <xf numFmtId="0" fontId="25" fillId="102" borderId="12" xfId="38" applyFont="1" applyFill="1" applyBorder="1" applyAlignment="1">
      <alignment horizontal="center" vertical="center" wrapText="1"/>
    </xf>
    <xf numFmtId="0" fontId="25" fillId="98" borderId="12" xfId="38" applyFont="1" applyFill="1" applyBorder="1" applyAlignment="1">
      <alignment horizontal="center" vertical="center"/>
    </xf>
    <xf numFmtId="0" fontId="0" fillId="7" borderId="12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19" fillId="78" borderId="12" xfId="0" applyFont="1" applyFill="1" applyBorder="1" applyAlignment="1">
      <alignment horizontal="center" vertical="center"/>
    </xf>
    <xf numFmtId="0" fontId="0" fillId="22" borderId="12" xfId="0" applyFill="1" applyBorder="1" applyAlignment="1">
      <alignment horizontal="center" vertical="center"/>
    </xf>
    <xf numFmtId="0" fontId="28" fillId="100" borderId="12" xfId="0" applyFont="1" applyFill="1" applyBorder="1" applyAlignment="1">
      <alignment horizontal="center" vertical="center" wrapText="1"/>
    </xf>
    <xf numFmtId="0" fontId="19" fillId="98" borderId="12" xfId="38" applyFont="1" applyFill="1" applyBorder="1" applyAlignment="1">
      <alignment horizontal="center" vertical="center"/>
    </xf>
    <xf numFmtId="0" fontId="10" fillId="27" borderId="12" xfId="38" applyFill="1" applyBorder="1" applyAlignment="1">
      <alignment horizontal="center" vertical="center"/>
    </xf>
    <xf numFmtId="0" fontId="19" fillId="27" borderId="12" xfId="38" applyFont="1" applyFill="1" applyBorder="1" applyAlignment="1">
      <alignment horizontal="center" vertical="center"/>
    </xf>
    <xf numFmtId="0" fontId="8" fillId="29" borderId="12" xfId="0" applyFont="1" applyFill="1" applyBorder="1" applyAlignment="1">
      <alignment horizontal="center" vertical="center"/>
    </xf>
    <xf numFmtId="0" fontId="56" fillId="36" borderId="12" xfId="0" applyFont="1" applyFill="1" applyBorder="1" applyAlignment="1">
      <alignment horizontal="center" vertical="center"/>
    </xf>
    <xf numFmtId="0" fontId="57" fillId="45" borderId="12" xfId="0" applyFont="1" applyFill="1" applyBorder="1" applyAlignment="1">
      <alignment horizontal="center" vertical="center"/>
    </xf>
    <xf numFmtId="0" fontId="57" fillId="44" borderId="12" xfId="0" applyFont="1" applyFill="1" applyBorder="1" applyAlignment="1">
      <alignment horizontal="center" vertical="center"/>
    </xf>
    <xf numFmtId="0" fontId="68" fillId="27" borderId="12" xfId="0" applyFont="1" applyFill="1" applyBorder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11" borderId="12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40" fillId="2" borderId="12" xfId="0" applyFont="1" applyFill="1" applyBorder="1" applyAlignment="1">
      <alignment horizontal="center" vertical="center" wrapText="1"/>
    </xf>
    <xf numFmtId="0" fontId="64" fillId="0" borderId="0" xfId="0" applyFont="1" applyAlignment="1">
      <alignment horizontal="center" vertical="center" wrapText="1"/>
    </xf>
    <xf numFmtId="0" fontId="49" fillId="72" borderId="12" xfId="29" applyFont="1" applyFill="1" applyBorder="1" applyAlignment="1">
      <alignment horizontal="center" vertical="center" wrapText="1"/>
    </xf>
    <xf numFmtId="0" fontId="56" fillId="97" borderId="12" xfId="0" applyFont="1" applyFill="1" applyBorder="1" applyAlignment="1">
      <alignment horizontal="center" vertical="center"/>
    </xf>
    <xf numFmtId="0" fontId="8" fillId="27" borderId="12" xfId="38" applyFont="1" applyFill="1" applyBorder="1" applyAlignment="1">
      <alignment horizontal="center" vertical="center"/>
    </xf>
    <xf numFmtId="0" fontId="8" fillId="27" borderId="12" xfId="28" applyFont="1" applyFill="1" applyBorder="1" applyAlignment="1">
      <alignment horizontal="center" vertical="center"/>
    </xf>
    <xf numFmtId="0" fontId="0" fillId="24" borderId="0" xfId="0" applyFill="1" applyAlignment="1">
      <alignment horizontal="center" vertical="center"/>
    </xf>
    <xf numFmtId="0" fontId="72" fillId="0" borderId="12" xfId="0" applyFont="1" applyBorder="1" applyAlignment="1">
      <alignment horizontal="center" vertical="center" wrapText="1"/>
    </xf>
    <xf numFmtId="0" fontId="7" fillId="31" borderId="12" xfId="0" applyFont="1" applyFill="1" applyBorder="1" applyAlignment="1">
      <alignment horizontal="center" vertical="center"/>
    </xf>
    <xf numFmtId="0" fontId="6" fillId="31" borderId="12" xfId="0" applyFont="1" applyFill="1" applyBorder="1" applyAlignment="1">
      <alignment horizontal="center" vertical="center"/>
    </xf>
    <xf numFmtId="0" fontId="24" fillId="106" borderId="12" xfId="26" applyFill="1" applyBorder="1" applyAlignment="1">
      <alignment horizontal="center" vertical="center"/>
    </xf>
    <xf numFmtId="0" fontId="25" fillId="60" borderId="12" xfId="26" applyFont="1" applyFill="1" applyBorder="1" applyAlignment="1">
      <alignment horizontal="center" vertical="center"/>
    </xf>
    <xf numFmtId="0" fontId="19" fillId="107" borderId="12" xfId="26" applyFont="1" applyFill="1" applyBorder="1" applyAlignment="1">
      <alignment horizontal="center" vertical="center"/>
    </xf>
    <xf numFmtId="0" fontId="6" fillId="27" borderId="12" xfId="38" applyFont="1" applyFill="1" applyBorder="1" applyAlignment="1">
      <alignment horizontal="center" vertical="center"/>
    </xf>
    <xf numFmtId="0" fontId="19" fillId="108" borderId="12" xfId="26" applyFont="1" applyFill="1" applyBorder="1" applyAlignment="1">
      <alignment horizontal="center" vertical="center"/>
    </xf>
    <xf numFmtId="0" fontId="5" fillId="0" borderId="0" xfId="42"/>
    <xf numFmtId="0" fontId="5" fillId="0" borderId="12" xfId="42" applyBorder="1"/>
    <xf numFmtId="0" fontId="28" fillId="0" borderId="12" xfId="42" applyFont="1" applyBorder="1" applyAlignment="1">
      <alignment horizontal="center"/>
    </xf>
    <xf numFmtId="0" fontId="5" fillId="27" borderId="12" xfId="28" applyFont="1" applyFill="1" applyBorder="1" applyAlignment="1">
      <alignment horizontal="center" vertical="center"/>
    </xf>
    <xf numFmtId="0" fontId="5" fillId="31" borderId="12" xfId="0" applyFont="1" applyFill="1" applyBorder="1" applyAlignment="1">
      <alignment horizontal="center" vertical="center"/>
    </xf>
    <xf numFmtId="0" fontId="5" fillId="27" borderId="12" xfId="38" applyFont="1" applyFill="1" applyBorder="1" applyAlignment="1">
      <alignment horizontal="center" vertical="center"/>
    </xf>
    <xf numFmtId="0" fontId="19" fillId="80" borderId="1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4" fillId="2" borderId="12" xfId="43" applyFont="1" applyFill="1" applyBorder="1" applyAlignment="1">
      <alignment horizontal="center" vertical="center" wrapText="1"/>
    </xf>
    <xf numFmtId="0" fontId="75" fillId="2" borderId="17" xfId="19" applyFont="1" applyFill="1" applyBorder="1" applyAlignment="1">
      <alignment horizontal="center" vertical="center"/>
    </xf>
    <xf numFmtId="0" fontId="73" fillId="0" borderId="10" xfId="43" applyFont="1" applyBorder="1" applyAlignment="1">
      <alignment horizontal="center" vertical="center" wrapText="1"/>
    </xf>
    <xf numFmtId="0" fontId="47" fillId="48" borderId="12" xfId="44" applyFont="1" applyFill="1" applyBorder="1" applyAlignment="1">
      <alignment horizontal="center" vertical="center"/>
    </xf>
    <xf numFmtId="0" fontId="47" fillId="61" borderId="12" xfId="44" applyFont="1" applyFill="1" applyBorder="1" applyAlignment="1">
      <alignment horizontal="center" vertical="center"/>
    </xf>
    <xf numFmtId="0" fontId="74" fillId="2" borderId="12" xfId="44" applyFont="1" applyFill="1" applyBorder="1" applyAlignment="1">
      <alignment horizontal="center" vertical="center"/>
    </xf>
    <xf numFmtId="0" fontId="46" fillId="0" borderId="12" xfId="44" applyFont="1" applyBorder="1" applyAlignment="1">
      <alignment horizontal="center" vertical="center"/>
    </xf>
    <xf numFmtId="0" fontId="75" fillId="2" borderId="10" xfId="19" applyFont="1" applyFill="1" applyBorder="1" applyAlignment="1">
      <alignment horizontal="center" vertical="center"/>
    </xf>
    <xf numFmtId="0" fontId="19" fillId="34" borderId="12" xfId="43" applyFont="1" applyFill="1" applyBorder="1" applyAlignment="1">
      <alignment horizontal="center" vertical="center" wrapText="1"/>
    </xf>
    <xf numFmtId="0" fontId="43" fillId="31" borderId="10" xfId="0" applyFont="1" applyFill="1" applyBorder="1" applyAlignment="1">
      <alignment horizontal="center" vertical="center"/>
    </xf>
    <xf numFmtId="0" fontId="28" fillId="33" borderId="10" xfId="0" applyFont="1" applyFill="1" applyBorder="1" applyAlignment="1">
      <alignment horizontal="center" vertical="center"/>
    </xf>
    <xf numFmtId="0" fontId="74" fillId="2" borderId="12" xfId="44" applyFont="1" applyFill="1" applyBorder="1" applyAlignment="1">
      <alignment horizontal="center" vertical="center" wrapText="1"/>
    </xf>
    <xf numFmtId="0" fontId="19" fillId="26" borderId="12" xfId="44" applyFont="1" applyFill="1" applyBorder="1" applyAlignment="1">
      <alignment horizontal="center" vertical="center"/>
    </xf>
    <xf numFmtId="0" fontId="19" fillId="11" borderId="12" xfId="43" applyFont="1" applyFill="1" applyBorder="1" applyAlignment="1">
      <alignment horizontal="center" vertical="center"/>
    </xf>
    <xf numFmtId="0" fontId="19" fillId="35" borderId="12" xfId="43" applyFont="1" applyFill="1" applyBorder="1" applyAlignment="1">
      <alignment horizontal="center" vertical="center"/>
    </xf>
    <xf numFmtId="0" fontId="25" fillId="3" borderId="12" xfId="43" applyFont="1" applyFill="1" applyBorder="1" applyAlignment="1">
      <alignment horizontal="center" vertical="center" wrapText="1"/>
    </xf>
    <xf numFmtId="0" fontId="19" fillId="3" borderId="12" xfId="43" applyFont="1" applyFill="1" applyBorder="1" applyAlignment="1">
      <alignment horizontal="center" vertical="center" wrapText="1"/>
    </xf>
    <xf numFmtId="0" fontId="33" fillId="48" borderId="12" xfId="44" applyFont="1" applyFill="1" applyBorder="1" applyAlignment="1">
      <alignment horizontal="center" vertical="center"/>
    </xf>
    <xf numFmtId="0" fontId="24" fillId="12" borderId="12" xfId="44" applyFont="1" applyFill="1" applyBorder="1" applyAlignment="1">
      <alignment horizontal="center" vertical="center"/>
    </xf>
    <xf numFmtId="0" fontId="4" fillId="36" borderId="12" xfId="43" applyFill="1" applyBorder="1" applyAlignment="1">
      <alignment horizontal="center"/>
    </xf>
    <xf numFmtId="0" fontId="24" fillId="27" borderId="12" xfId="44" applyFont="1" applyFill="1" applyBorder="1" applyAlignment="1">
      <alignment horizontal="center" vertical="center"/>
    </xf>
    <xf numFmtId="0" fontId="4" fillId="0" borderId="12" xfId="44" applyBorder="1" applyAlignment="1">
      <alignment horizontal="center"/>
    </xf>
    <xf numFmtId="0" fontId="4" fillId="0" borderId="12" xfId="44" applyBorder="1" applyAlignment="1">
      <alignment horizontal="center" vertical="center"/>
    </xf>
    <xf numFmtId="0" fontId="25" fillId="15" borderId="12" xfId="44" applyFont="1" applyFill="1" applyBorder="1" applyAlignment="1">
      <alignment horizontal="center" vertical="center"/>
    </xf>
    <xf numFmtId="0" fontId="24" fillId="36" borderId="12" xfId="43" applyFont="1" applyFill="1" applyBorder="1" applyAlignment="1">
      <alignment horizontal="center" vertical="center"/>
    </xf>
    <xf numFmtId="0" fontId="24" fillId="3" borderId="12" xfId="44" applyFont="1" applyFill="1" applyBorder="1" applyAlignment="1">
      <alignment horizontal="center" vertical="center"/>
    </xf>
    <xf numFmtId="0" fontId="24" fillId="36" borderId="12" xfId="19" applyFont="1" applyFill="1" applyBorder="1" applyAlignment="1">
      <alignment horizontal="center" vertical="center"/>
    </xf>
    <xf numFmtId="0" fontId="35" fillId="53" borderId="12" xfId="19" applyFont="1" applyFill="1" applyBorder="1" applyAlignment="1">
      <alignment horizontal="center" vertical="center"/>
    </xf>
    <xf numFmtId="0" fontId="19" fillId="34" borderId="12" xfId="44" applyFont="1" applyFill="1" applyBorder="1" applyAlignment="1">
      <alignment horizontal="center" vertical="center" wrapText="1"/>
    </xf>
    <xf numFmtId="0" fontId="19" fillId="11" borderId="12" xfId="44" applyFont="1" applyFill="1" applyBorder="1" applyAlignment="1">
      <alignment horizontal="center" vertical="center"/>
    </xf>
    <xf numFmtId="0" fontId="19" fillId="35" borderId="12" xfId="44" applyFont="1" applyFill="1" applyBorder="1" applyAlignment="1">
      <alignment horizontal="center" vertical="center"/>
    </xf>
    <xf numFmtId="0" fontId="25" fillId="3" borderId="12" xfId="44" applyFont="1" applyFill="1" applyBorder="1" applyAlignment="1">
      <alignment horizontal="center" vertical="center" wrapText="1"/>
    </xf>
    <xf numFmtId="0" fontId="19" fillId="3" borderId="12" xfId="44" applyFont="1" applyFill="1" applyBorder="1" applyAlignment="1">
      <alignment horizontal="center" vertical="center" wrapText="1"/>
    </xf>
    <xf numFmtId="0" fontId="73" fillId="0" borderId="12" xfId="44" applyFont="1" applyBorder="1" applyAlignment="1">
      <alignment horizontal="center" vertical="center" wrapText="1"/>
    </xf>
    <xf numFmtId="0" fontId="33" fillId="112" borderId="12" xfId="44" applyFont="1" applyFill="1" applyBorder="1" applyAlignment="1">
      <alignment horizontal="center" vertical="center"/>
    </xf>
    <xf numFmtId="0" fontId="24" fillId="12" borderId="12" xfId="44" applyFont="1" applyFill="1" applyBorder="1" applyAlignment="1">
      <alignment horizontal="center"/>
    </xf>
    <xf numFmtId="0" fontId="24" fillId="36" borderId="12" xfId="44" applyFont="1" applyFill="1" applyBorder="1" applyAlignment="1">
      <alignment horizontal="center" vertical="center"/>
    </xf>
    <xf numFmtId="0" fontId="28" fillId="0" borderId="12" xfId="44" applyFont="1" applyBorder="1" applyAlignment="1">
      <alignment horizontal="center" vertical="center" wrapText="1"/>
    </xf>
    <xf numFmtId="0" fontId="56" fillId="14" borderId="10" xfId="0" applyFont="1" applyFill="1" applyBorder="1" applyAlignment="1">
      <alignment horizontal="center" vertical="center" wrapText="1"/>
    </xf>
    <xf numFmtId="0" fontId="27" fillId="2" borderId="12" xfId="44" applyFont="1" applyFill="1" applyBorder="1" applyAlignment="1">
      <alignment horizontal="center" vertical="center" wrapText="1"/>
    </xf>
    <xf numFmtId="0" fontId="27" fillId="2" borderId="12" xfId="44" applyFont="1" applyFill="1" applyBorder="1" applyAlignment="1">
      <alignment horizontal="center" vertical="center"/>
    </xf>
    <xf numFmtId="0" fontId="19" fillId="27" borderId="12" xfId="44" applyFont="1" applyFill="1" applyBorder="1" applyAlignment="1">
      <alignment horizontal="center" vertical="center"/>
    </xf>
    <xf numFmtId="0" fontId="24" fillId="30" borderId="12" xfId="44" applyFont="1" applyFill="1" applyBorder="1" applyAlignment="1">
      <alignment horizontal="center" vertical="center"/>
    </xf>
    <xf numFmtId="0" fontId="19" fillId="21" borderId="12" xfId="44" applyFont="1" applyFill="1" applyBorder="1" applyAlignment="1">
      <alignment horizontal="center" vertical="center"/>
    </xf>
    <xf numFmtId="0" fontId="19" fillId="30" borderId="12" xfId="44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0" fontId="21" fillId="30" borderId="12" xfId="0" applyFont="1" applyFill="1" applyBorder="1" applyAlignment="1">
      <alignment horizontal="center" vertical="center"/>
    </xf>
    <xf numFmtId="0" fontId="51" fillId="0" borderId="0" xfId="0" applyFont="1" applyAlignment="1">
      <alignment horizontal="center" vertical="center" wrapText="1"/>
    </xf>
    <xf numFmtId="0" fontId="44" fillId="45" borderId="12" xfId="0" applyFont="1" applyFill="1" applyBorder="1" applyAlignment="1">
      <alignment horizontal="center" vertical="center"/>
    </xf>
    <xf numFmtId="0" fontId="44" fillId="44" borderId="12" xfId="0" applyFont="1" applyFill="1" applyBorder="1" applyAlignment="1">
      <alignment horizontal="center" vertical="center"/>
    </xf>
    <xf numFmtId="0" fontId="21" fillId="36" borderId="12" xfId="0" applyFont="1" applyFill="1" applyBorder="1" applyAlignment="1">
      <alignment horizontal="center" vertical="center"/>
    </xf>
    <xf numFmtId="0" fontId="21" fillId="0" borderId="66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4" fillId="107" borderId="12" xfId="26" applyFill="1" applyBorder="1" applyAlignment="1">
      <alignment horizontal="center" vertical="center"/>
    </xf>
    <xf numFmtId="0" fontId="24" fillId="113" borderId="12" xfId="26" applyFill="1" applyBorder="1" applyAlignment="1">
      <alignment horizontal="center" vertical="center"/>
    </xf>
    <xf numFmtId="0" fontId="19" fillId="114" borderId="12" xfId="26" applyFont="1" applyFill="1" applyBorder="1" applyAlignment="1">
      <alignment horizontal="center" vertical="center"/>
    </xf>
    <xf numFmtId="0" fontId="24" fillId="114" borderId="12" xfId="26" applyFill="1" applyBorder="1" applyAlignment="1">
      <alignment horizontal="center" vertical="center"/>
    </xf>
    <xf numFmtId="0" fontId="3" fillId="27" borderId="12" xfId="0" applyFont="1" applyFill="1" applyBorder="1" applyAlignment="1">
      <alignment horizontal="center" vertical="center"/>
    </xf>
    <xf numFmtId="0" fontId="19" fillId="115" borderId="12" xfId="0" applyFont="1" applyFill="1" applyBorder="1" applyAlignment="1">
      <alignment horizontal="center" vertical="center"/>
    </xf>
    <xf numFmtId="0" fontId="3" fillId="31" borderId="12" xfId="0" applyFont="1" applyFill="1" applyBorder="1" applyAlignment="1">
      <alignment horizontal="center" vertical="center"/>
    </xf>
    <xf numFmtId="0" fontId="19" fillId="28" borderId="12" xfId="0" applyFont="1" applyFill="1" applyBorder="1" applyAlignment="1">
      <alignment horizontal="center" vertical="center"/>
    </xf>
    <xf numFmtId="0" fontId="21" fillId="27" borderId="12" xfId="0" applyFont="1" applyFill="1" applyBorder="1" applyAlignment="1">
      <alignment horizontal="center" vertical="center"/>
    </xf>
    <xf numFmtId="0" fontId="46" fillId="27" borderId="12" xfId="0" applyFont="1" applyFill="1" applyBorder="1" applyAlignment="1">
      <alignment horizontal="center" vertical="center"/>
    </xf>
    <xf numFmtId="0" fontId="46" fillId="3" borderId="12" xfId="0" applyFont="1" applyFill="1" applyBorder="1" applyAlignment="1">
      <alignment horizontal="center" vertical="center"/>
    </xf>
    <xf numFmtId="0" fontId="46" fillId="30" borderId="12" xfId="0" applyFont="1" applyFill="1" applyBorder="1" applyAlignment="1">
      <alignment horizontal="center" vertical="center"/>
    </xf>
    <xf numFmtId="0" fontId="21" fillId="36" borderId="12" xfId="0" applyFont="1" applyFill="1" applyBorder="1" applyAlignment="1">
      <alignment horizontal="center" vertical="center" wrapText="1"/>
    </xf>
    <xf numFmtId="0" fontId="28" fillId="116" borderId="12" xfId="0" applyFont="1" applyFill="1" applyBorder="1" applyAlignment="1">
      <alignment horizontal="center" vertical="center" wrapText="1"/>
    </xf>
    <xf numFmtId="0" fontId="3" fillId="0" borderId="12" xfId="45" applyBorder="1" applyAlignment="1">
      <alignment horizontal="center" vertical="center"/>
    </xf>
    <xf numFmtId="0" fontId="3" fillId="0" borderId="0" xfId="45"/>
    <xf numFmtId="0" fontId="21" fillId="0" borderId="0" xfId="45" applyFont="1" applyAlignment="1">
      <alignment horizontal="center" vertical="center"/>
    </xf>
    <xf numFmtId="0" fontId="56" fillId="0" borderId="0" xfId="45" applyFont="1" applyAlignment="1">
      <alignment horizontal="center" vertical="center"/>
    </xf>
    <xf numFmtId="0" fontId="28" fillId="33" borderId="12" xfId="45" applyFont="1" applyFill="1" applyBorder="1" applyAlignment="1">
      <alignment horizontal="center" vertical="center"/>
    </xf>
    <xf numFmtId="0" fontId="19" fillId="34" borderId="12" xfId="45" applyFont="1" applyFill="1" applyBorder="1" applyAlignment="1">
      <alignment horizontal="center" vertical="center" wrapText="1"/>
    </xf>
    <xf numFmtId="0" fontId="19" fillId="11" borderId="12" xfId="45" applyFont="1" applyFill="1" applyBorder="1" applyAlignment="1">
      <alignment horizontal="center" vertical="center"/>
    </xf>
    <xf numFmtId="0" fontId="19" fillId="35" borderId="12" xfId="45" applyFont="1" applyFill="1" applyBorder="1" applyAlignment="1">
      <alignment horizontal="center" vertical="center"/>
    </xf>
    <xf numFmtId="0" fontId="25" fillId="3" borderId="12" xfId="45" applyFont="1" applyFill="1" applyBorder="1" applyAlignment="1">
      <alignment horizontal="center" vertical="center" wrapText="1"/>
    </xf>
    <xf numFmtId="0" fontId="19" fillId="3" borderId="12" xfId="45" applyFont="1" applyFill="1" applyBorder="1" applyAlignment="1">
      <alignment horizontal="center" vertical="center" wrapText="1"/>
    </xf>
    <xf numFmtId="0" fontId="27" fillId="2" borderId="12" xfId="45" applyFont="1" applyFill="1" applyBorder="1" applyAlignment="1">
      <alignment horizontal="center" vertical="center" wrapText="1"/>
    </xf>
    <xf numFmtId="0" fontId="27" fillId="2" borderId="12" xfId="45" applyFont="1" applyFill="1" applyBorder="1" applyAlignment="1">
      <alignment horizontal="center" vertical="center"/>
    </xf>
    <xf numFmtId="0" fontId="33" fillId="17" borderId="12" xfId="45" applyFont="1" applyFill="1" applyBorder="1" applyAlignment="1">
      <alignment horizontal="center" vertical="center"/>
    </xf>
    <xf numFmtId="0" fontId="33" fillId="6" borderId="12" xfId="45" applyFont="1" applyFill="1" applyBorder="1" applyAlignment="1">
      <alignment horizontal="center" vertical="center"/>
    </xf>
    <xf numFmtId="0" fontId="33" fillId="48" borderId="12" xfId="45" applyFont="1" applyFill="1" applyBorder="1" applyAlignment="1">
      <alignment horizontal="center" vertical="center"/>
    </xf>
    <xf numFmtId="0" fontId="21" fillId="36" borderId="12" xfId="45" applyFont="1" applyFill="1" applyBorder="1" applyAlignment="1">
      <alignment horizontal="center" vertical="center"/>
    </xf>
    <xf numFmtId="0" fontId="56" fillId="30" borderId="12" xfId="45" applyFont="1" applyFill="1" applyBorder="1" applyAlignment="1">
      <alignment horizontal="center" vertical="center"/>
    </xf>
    <xf numFmtId="0" fontId="56" fillId="0" borderId="12" xfId="45" applyFont="1" applyBorder="1" applyAlignment="1">
      <alignment horizontal="center" vertical="center"/>
    </xf>
    <xf numFmtId="0" fontId="33" fillId="51" borderId="12" xfId="45" applyFont="1" applyFill="1" applyBorder="1" applyAlignment="1">
      <alignment horizontal="center" vertical="center"/>
    </xf>
    <xf numFmtId="0" fontId="33" fillId="49" borderId="12" xfId="45" applyFont="1" applyFill="1" applyBorder="1" applyAlignment="1">
      <alignment horizontal="center" vertical="center"/>
    </xf>
    <xf numFmtId="0" fontId="56" fillId="3" borderId="12" xfId="45" applyFont="1" applyFill="1" applyBorder="1" applyAlignment="1">
      <alignment horizontal="center" vertical="center"/>
    </xf>
    <xf numFmtId="0" fontId="28" fillId="0" borderId="0" xfId="45" applyFont="1" applyAlignment="1">
      <alignment horizontal="center" vertical="center" wrapText="1"/>
    </xf>
    <xf numFmtId="0" fontId="47" fillId="0" borderId="0" xfId="45" applyFont="1" applyAlignment="1">
      <alignment horizontal="center" vertical="center"/>
    </xf>
    <xf numFmtId="0" fontId="46" fillId="0" borderId="0" xfId="45" applyFont="1" applyAlignment="1">
      <alignment horizontal="center" vertical="center"/>
    </xf>
    <xf numFmtId="0" fontId="24" fillId="0" borderId="0" xfId="26" applyAlignment="1">
      <alignment horizontal="center" vertical="center"/>
    </xf>
    <xf numFmtId="0" fontId="44" fillId="0" borderId="0" xfId="45" applyFont="1" applyAlignment="1">
      <alignment horizontal="center" vertical="center"/>
    </xf>
    <xf numFmtId="0" fontId="28" fillId="0" borderId="12" xfId="45" applyFont="1" applyBorder="1" applyAlignment="1">
      <alignment horizontal="center" vertical="center" wrapText="1"/>
    </xf>
    <xf numFmtId="0" fontId="28" fillId="31" borderId="10" xfId="45" applyFont="1" applyFill="1" applyBorder="1" applyAlignment="1">
      <alignment horizontal="center" vertical="center" wrapText="1"/>
    </xf>
    <xf numFmtId="0" fontId="33" fillId="17" borderId="14" xfId="45" applyFont="1" applyFill="1" applyBorder="1" applyAlignment="1">
      <alignment horizontal="center" vertical="center"/>
    </xf>
    <xf numFmtId="0" fontId="33" fillId="6" borderId="14" xfId="45" applyFont="1" applyFill="1" applyBorder="1" applyAlignment="1">
      <alignment horizontal="center" vertical="center"/>
    </xf>
    <xf numFmtId="0" fontId="33" fillId="51" borderId="14" xfId="45" applyFont="1" applyFill="1" applyBorder="1" applyAlignment="1">
      <alignment horizontal="center" vertical="center"/>
    </xf>
    <xf numFmtId="0" fontId="27" fillId="2" borderId="17" xfId="45" applyFont="1" applyFill="1" applyBorder="1" applyAlignment="1">
      <alignment horizontal="center" vertical="center"/>
    </xf>
    <xf numFmtId="0" fontId="19" fillId="54" borderId="14" xfId="26" applyFont="1" applyFill="1" applyBorder="1" applyAlignment="1">
      <alignment horizontal="center" vertical="center"/>
    </xf>
    <xf numFmtId="0" fontId="33" fillId="45" borderId="12" xfId="45" applyFont="1" applyFill="1" applyBorder="1" applyAlignment="1">
      <alignment horizontal="center" vertical="center"/>
    </xf>
    <xf numFmtId="0" fontId="33" fillId="44" borderId="12" xfId="45" applyFont="1" applyFill="1" applyBorder="1" applyAlignment="1">
      <alignment horizontal="center" vertical="center"/>
    </xf>
    <xf numFmtId="0" fontId="24" fillId="25" borderId="12" xfId="26" applyFill="1" applyBorder="1" applyAlignment="1">
      <alignment horizontal="center" vertical="center"/>
    </xf>
    <xf numFmtId="0" fontId="24" fillId="64" borderId="12" xfId="26" applyFill="1" applyBorder="1" applyAlignment="1">
      <alignment horizontal="center" vertical="center"/>
    </xf>
    <xf numFmtId="0" fontId="24" fillId="54" borderId="14" xfId="26" applyFill="1" applyBorder="1" applyAlignment="1">
      <alignment horizontal="center" vertical="center"/>
    </xf>
    <xf numFmtId="0" fontId="24" fillId="55" borderId="14" xfId="26" applyFill="1" applyBorder="1" applyAlignment="1">
      <alignment horizontal="center" vertical="center"/>
    </xf>
    <xf numFmtId="0" fontId="57" fillId="45" borderId="12" xfId="45" applyFont="1" applyFill="1" applyBorder="1" applyAlignment="1">
      <alignment horizontal="center" vertical="center"/>
    </xf>
    <xf numFmtId="0" fontId="56" fillId="36" borderId="12" xfId="45" applyFont="1" applyFill="1" applyBorder="1" applyAlignment="1">
      <alignment horizontal="center" vertical="center"/>
    </xf>
    <xf numFmtId="0" fontId="33" fillId="83" borderId="12" xfId="45" applyFont="1" applyFill="1" applyBorder="1" applyAlignment="1">
      <alignment horizontal="center" vertical="center"/>
    </xf>
    <xf numFmtId="0" fontId="57" fillId="44" borderId="12" xfId="45" applyFont="1" applyFill="1" applyBorder="1" applyAlignment="1">
      <alignment horizontal="center" vertical="center"/>
    </xf>
    <xf numFmtId="0" fontId="19" fillId="8" borderId="12" xfId="45" applyFont="1" applyFill="1" applyBorder="1" applyAlignment="1">
      <alignment horizontal="center" vertical="center"/>
    </xf>
    <xf numFmtId="0" fontId="19" fillId="27" borderId="12" xfId="45" applyFont="1" applyFill="1" applyBorder="1" applyAlignment="1">
      <alignment horizontal="center" vertical="center"/>
    </xf>
    <xf numFmtId="0" fontId="19" fillId="85" borderId="12" xfId="45" applyFont="1" applyFill="1" applyBorder="1" applyAlignment="1">
      <alignment horizontal="center" vertical="center"/>
    </xf>
    <xf numFmtId="0" fontId="26" fillId="84" borderId="12" xfId="45" applyFont="1" applyFill="1" applyBorder="1" applyAlignment="1">
      <alignment horizontal="center" vertical="center"/>
    </xf>
    <xf numFmtId="0" fontId="3" fillId="5" borderId="12" xfId="45" applyFill="1" applyBorder="1" applyAlignment="1">
      <alignment horizontal="center" vertical="center"/>
    </xf>
    <xf numFmtId="0" fontId="3" fillId="17" borderId="12" xfId="45" applyFill="1" applyBorder="1" applyAlignment="1">
      <alignment horizontal="center" vertical="center"/>
    </xf>
    <xf numFmtId="0" fontId="3" fillId="18" borderId="12" xfId="45" applyFill="1" applyBorder="1" applyAlignment="1">
      <alignment horizontal="center" vertical="center"/>
    </xf>
    <xf numFmtId="0" fontId="3" fillId="27" borderId="12" xfId="45" applyFill="1" applyBorder="1" applyAlignment="1">
      <alignment horizontal="center" vertical="center"/>
    </xf>
    <xf numFmtId="0" fontId="56" fillId="7" borderId="12" xfId="45" applyFont="1" applyFill="1" applyBorder="1" applyAlignment="1">
      <alignment horizontal="center" vertical="center"/>
    </xf>
    <xf numFmtId="0" fontId="3" fillId="15" borderId="12" xfId="45" applyFill="1" applyBorder="1" applyAlignment="1">
      <alignment horizontal="center" vertical="center"/>
    </xf>
    <xf numFmtId="0" fontId="3" fillId="19" borderId="12" xfId="45" applyFill="1" applyBorder="1" applyAlignment="1">
      <alignment horizontal="center" vertical="center"/>
    </xf>
    <xf numFmtId="0" fontId="3" fillId="104" borderId="12" xfId="45" applyFill="1" applyBorder="1" applyAlignment="1">
      <alignment horizontal="center" vertical="center"/>
    </xf>
    <xf numFmtId="0" fontId="3" fillId="82" borderId="12" xfId="45" applyFill="1" applyBorder="1" applyAlignment="1">
      <alignment horizontal="center" vertical="center"/>
    </xf>
    <xf numFmtId="0" fontId="3" fillId="0" borderId="0" xfId="45" applyAlignment="1">
      <alignment horizontal="center" vertical="center"/>
    </xf>
    <xf numFmtId="0" fontId="57" fillId="0" borderId="0" xfId="45" applyFont="1" applyAlignment="1">
      <alignment horizontal="center" vertical="center"/>
    </xf>
    <xf numFmtId="0" fontId="57" fillId="86" borderId="3" xfId="45" applyFont="1" applyFill="1" applyBorder="1" applyAlignment="1">
      <alignment horizontal="center" vertical="center"/>
    </xf>
    <xf numFmtId="0" fontId="76" fillId="31" borderId="12" xfId="45" applyFont="1" applyFill="1" applyBorder="1" applyAlignment="1">
      <alignment horizontal="center" vertical="center"/>
    </xf>
    <xf numFmtId="0" fontId="77" fillId="31" borderId="12" xfId="45" applyFont="1" applyFill="1" applyBorder="1" applyAlignment="1">
      <alignment horizontal="center" vertical="center"/>
    </xf>
    <xf numFmtId="0" fontId="26" fillId="31" borderId="12" xfId="0" applyFont="1" applyFill="1" applyBorder="1" applyAlignment="1">
      <alignment horizontal="center" vertical="center"/>
    </xf>
    <xf numFmtId="0" fontId="43" fillId="31" borderId="12" xfId="45" applyFont="1" applyFill="1" applyBorder="1" applyAlignment="1">
      <alignment horizontal="center" vertical="center"/>
    </xf>
    <xf numFmtId="0" fontId="19" fillId="59" borderId="12" xfId="26" applyFont="1" applyFill="1" applyBorder="1" applyAlignment="1">
      <alignment horizontal="center" vertical="center"/>
    </xf>
    <xf numFmtId="0" fontId="44" fillId="45" borderId="12" xfId="45" applyFont="1" applyFill="1" applyBorder="1" applyAlignment="1">
      <alignment horizontal="center" vertical="center"/>
    </xf>
    <xf numFmtId="0" fontId="44" fillId="44" borderId="12" xfId="45" applyFont="1" applyFill="1" applyBorder="1" applyAlignment="1">
      <alignment horizontal="center" vertical="center"/>
    </xf>
    <xf numFmtId="0" fontId="3" fillId="0" borderId="12" xfId="45" applyBorder="1" applyAlignment="1">
      <alignment horizontal="center" vertical="center" wrapText="1"/>
    </xf>
    <xf numFmtId="0" fontId="33" fillId="27" borderId="12" xfId="45" applyFont="1" applyFill="1" applyBorder="1" applyAlignment="1">
      <alignment horizontal="center" vertical="center" wrapText="1"/>
    </xf>
    <xf numFmtId="0" fontId="56" fillId="27" borderId="0" xfId="0" applyFont="1" applyFill="1" applyAlignment="1">
      <alignment horizontal="center" vertical="center"/>
    </xf>
    <xf numFmtId="0" fontId="78" fillId="5" borderId="12" xfId="0" applyFont="1" applyFill="1" applyBorder="1" applyAlignment="1">
      <alignment horizontal="center" vertical="center"/>
    </xf>
    <xf numFmtId="0" fontId="79" fillId="27" borderId="12" xfId="0" applyFont="1" applyFill="1" applyBorder="1" applyAlignment="1">
      <alignment horizontal="center" vertical="center"/>
    </xf>
    <xf numFmtId="0" fontId="78" fillId="27" borderId="12" xfId="0" applyFont="1" applyFill="1" applyBorder="1" applyAlignment="1">
      <alignment horizontal="center" vertical="center"/>
    </xf>
    <xf numFmtId="0" fontId="78" fillId="3" borderId="12" xfId="0" applyFont="1" applyFill="1" applyBorder="1" applyAlignment="1">
      <alignment horizontal="center" vertical="center"/>
    </xf>
    <xf numFmtId="18" fontId="21" fillId="111" borderId="12" xfId="42" applyNumberFormat="1" applyFont="1" applyFill="1" applyBorder="1" applyAlignment="1">
      <alignment horizontal="center"/>
    </xf>
    <xf numFmtId="0" fontId="21" fillId="111" borderId="12" xfId="42" applyFont="1" applyFill="1" applyBorder="1" applyAlignment="1">
      <alignment horizontal="center"/>
    </xf>
    <xf numFmtId="0" fontId="5" fillId="0" borderId="12" xfId="42" applyBorder="1" applyAlignment="1">
      <alignment horizontal="center" vertical="center"/>
    </xf>
    <xf numFmtId="0" fontId="5" fillId="0" borderId="12" xfId="42" applyBorder="1" applyAlignment="1">
      <alignment horizontal="center" vertical="center" wrapText="1"/>
    </xf>
    <xf numFmtId="0" fontId="5" fillId="0" borderId="12" xfId="42" applyBorder="1" applyAlignment="1">
      <alignment horizontal="center"/>
    </xf>
    <xf numFmtId="0" fontId="3" fillId="118" borderId="12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/>
    </xf>
    <xf numFmtId="0" fontId="3" fillId="119" borderId="12" xfId="0" applyFont="1" applyFill="1" applyBorder="1" applyAlignment="1">
      <alignment horizontal="center" vertical="center"/>
    </xf>
    <xf numFmtId="0" fontId="19" fillId="111" borderId="12" xfId="0" applyFont="1" applyFill="1" applyBorder="1" applyAlignment="1">
      <alignment horizontal="center" vertical="center"/>
    </xf>
    <xf numFmtId="0" fontId="24" fillId="120" borderId="12" xfId="26" applyFill="1" applyBorder="1" applyAlignment="1">
      <alignment horizontal="center" vertical="center"/>
    </xf>
    <xf numFmtId="0" fontId="3" fillId="111" borderId="12" xfId="0" applyFont="1" applyFill="1" applyBorder="1" applyAlignment="1">
      <alignment horizontal="center" vertical="center"/>
    </xf>
    <xf numFmtId="0" fontId="21" fillId="27" borderId="0" xfId="0" applyFont="1" applyFill="1" applyAlignment="1">
      <alignment horizontal="center" vertical="center"/>
    </xf>
    <xf numFmtId="0" fontId="28" fillId="27" borderId="0" xfId="0" applyFont="1" applyFill="1" applyAlignment="1">
      <alignment horizontal="center" vertical="center"/>
    </xf>
    <xf numFmtId="0" fontId="25" fillId="27" borderId="0" xfId="0" applyFont="1" applyFill="1" applyAlignment="1">
      <alignment horizontal="center" vertical="center" wrapText="1"/>
    </xf>
    <xf numFmtId="0" fontId="19" fillId="27" borderId="0" xfId="0" applyFont="1" applyFill="1" applyAlignment="1">
      <alignment horizontal="center" vertical="center" wrapText="1"/>
    </xf>
    <xf numFmtId="0" fontId="19" fillId="27" borderId="0" xfId="0" applyFont="1" applyFill="1" applyAlignment="1">
      <alignment horizontal="center" vertical="center"/>
    </xf>
    <xf numFmtId="0" fontId="3" fillId="27" borderId="0" xfId="0" applyFont="1" applyFill="1" applyAlignment="1">
      <alignment horizontal="center" vertical="center"/>
    </xf>
    <xf numFmtId="0" fontId="8" fillId="27" borderId="0" xfId="0" applyFont="1" applyFill="1" applyAlignment="1">
      <alignment horizontal="center" vertical="center"/>
    </xf>
    <xf numFmtId="0" fontId="27" fillId="27" borderId="0" xfId="0" applyFont="1" applyFill="1" applyAlignment="1">
      <alignment horizontal="center" vertical="center"/>
    </xf>
    <xf numFmtId="0" fontId="33" fillId="27" borderId="0" xfId="0" applyFont="1" applyFill="1" applyAlignment="1">
      <alignment horizontal="center" vertical="center"/>
    </xf>
    <xf numFmtId="0" fontId="43" fillId="27" borderId="0" xfId="0" applyFont="1" applyFill="1" applyAlignment="1">
      <alignment horizontal="center" vertical="center"/>
    </xf>
    <xf numFmtId="0" fontId="3" fillId="27" borderId="0" xfId="0" applyFont="1" applyFill="1" applyAlignment="1">
      <alignment horizontal="center" vertical="center" wrapText="1"/>
    </xf>
    <xf numFmtId="0" fontId="8" fillId="27" borderId="0" xfId="0" applyFont="1" applyFill="1" applyAlignment="1">
      <alignment horizontal="center" vertical="center" wrapText="1"/>
    </xf>
    <xf numFmtId="0" fontId="21" fillId="27" borderId="0" xfId="0" applyFont="1" applyFill="1" applyAlignment="1">
      <alignment horizontal="center" vertical="center" wrapText="1"/>
    </xf>
    <xf numFmtId="0" fontId="2" fillId="0" borderId="12" xfId="44" applyFont="1" applyBorder="1" applyAlignment="1">
      <alignment horizontal="center" vertical="center"/>
    </xf>
    <xf numFmtId="0" fontId="22" fillId="31" borderId="12" xfId="0" applyFont="1" applyFill="1" applyBorder="1" applyAlignment="1">
      <alignment horizontal="center" vertical="center"/>
    </xf>
    <xf numFmtId="0" fontId="26" fillId="117" borderId="12" xfId="45" applyFont="1" applyFill="1" applyBorder="1" applyAlignment="1">
      <alignment horizontal="center" vertical="center"/>
    </xf>
    <xf numFmtId="0" fontId="33" fillId="117" borderId="12" xfId="45" applyFont="1" applyFill="1" applyBorder="1" applyAlignment="1">
      <alignment horizontal="center" vertical="center"/>
    </xf>
    <xf numFmtId="0" fontId="24" fillId="117" borderId="12" xfId="45" applyFont="1" applyFill="1" applyBorder="1" applyAlignment="1">
      <alignment horizontal="center" vertical="center"/>
    </xf>
    <xf numFmtId="0" fontId="25" fillId="117" borderId="12" xfId="45" applyFont="1" applyFill="1" applyBorder="1" applyAlignment="1">
      <alignment horizontal="center" vertical="center"/>
    </xf>
    <xf numFmtId="0" fontId="24" fillId="117" borderId="12" xfId="45" applyFont="1" applyFill="1" applyBorder="1" applyAlignment="1">
      <alignment horizontal="center" vertical="center" wrapText="1"/>
    </xf>
    <xf numFmtId="0" fontId="25" fillId="117" borderId="12" xfId="45" applyFont="1" applyFill="1" applyBorder="1" applyAlignment="1">
      <alignment horizontal="center" vertical="center" wrapText="1"/>
    </xf>
    <xf numFmtId="0" fontId="19" fillId="31" borderId="12" xfId="45" applyFont="1" applyFill="1" applyBorder="1" applyAlignment="1">
      <alignment horizontal="center" vertical="center"/>
    </xf>
    <xf numFmtId="0" fontId="33" fillId="117" borderId="12" xfId="45" applyFont="1" applyFill="1" applyBorder="1" applyAlignment="1">
      <alignment horizontal="center"/>
    </xf>
    <xf numFmtId="0" fontId="3" fillId="31" borderId="12" xfId="45" applyFill="1" applyBorder="1" applyAlignment="1">
      <alignment horizontal="center" vertical="center"/>
    </xf>
    <xf numFmtId="0" fontId="26" fillId="117" borderId="12" xfId="45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2" fillId="31" borderId="12" xfId="0" applyFont="1" applyFill="1" applyBorder="1" applyAlignment="1">
      <alignment horizontal="center" vertical="center"/>
    </xf>
    <xf numFmtId="0" fontId="22" fillId="117" borderId="12" xfId="45" applyFont="1" applyFill="1" applyBorder="1" applyAlignment="1">
      <alignment horizontal="center" vertical="center"/>
    </xf>
    <xf numFmtId="0" fontId="19" fillId="121" borderId="12" xfId="26" applyFont="1" applyFill="1" applyBorder="1" applyAlignment="1">
      <alignment horizontal="center" vertical="center"/>
    </xf>
    <xf numFmtId="0" fontId="80" fillId="31" borderId="12" xfId="45" applyFont="1" applyFill="1" applyBorder="1" applyAlignment="1">
      <alignment horizontal="center" vertical="center"/>
    </xf>
    <xf numFmtId="0" fontId="1" fillId="0" borderId="12" xfId="42" applyFont="1" applyBorder="1" applyAlignment="1">
      <alignment horizontal="center" vertical="center"/>
    </xf>
    <xf numFmtId="0" fontId="1" fillId="0" borderId="12" xfId="42" applyFont="1" applyBorder="1" applyAlignment="1">
      <alignment horizontal="center" vertical="center" wrapText="1"/>
    </xf>
    <xf numFmtId="0" fontId="5" fillId="0" borderId="0" xfId="42" applyAlignment="1">
      <alignment vertical="center"/>
    </xf>
    <xf numFmtId="0" fontId="5" fillId="3" borderId="12" xfId="42" applyFill="1" applyBorder="1" applyAlignment="1">
      <alignment horizontal="center" vertical="center"/>
    </xf>
    <xf numFmtId="0" fontId="55" fillId="2" borderId="12" xfId="45" applyFont="1" applyFill="1" applyBorder="1" applyAlignment="1">
      <alignment horizontal="center" vertical="center" textRotation="90" wrapText="1"/>
    </xf>
    <xf numFmtId="0" fontId="3" fillId="0" borderId="12" xfId="45" applyBorder="1" applyAlignment="1">
      <alignment horizontal="center" vertical="center"/>
    </xf>
    <xf numFmtId="0" fontId="55" fillId="2" borderId="12" xfId="0" applyFont="1" applyFill="1" applyBorder="1" applyAlignment="1">
      <alignment horizontal="center" vertical="center" textRotation="90" wrapText="1"/>
    </xf>
    <xf numFmtId="0" fontId="8" fillId="0" borderId="12" xfId="0" applyFont="1" applyBorder="1" applyAlignment="1">
      <alignment horizontal="center" vertical="center"/>
    </xf>
    <xf numFmtId="0" fontId="0" fillId="0" borderId="87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0" fillId="0" borderId="88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71" xfId="0" applyBorder="1" applyAlignment="1">
      <alignment horizontal="center" vertical="center" wrapText="1"/>
    </xf>
    <xf numFmtId="0" fontId="0" fillId="0" borderId="70" xfId="0" applyBorder="1" applyAlignment="1">
      <alignment horizontal="center" vertical="center" wrapText="1"/>
    </xf>
    <xf numFmtId="0" fontId="0" fillId="0" borderId="95" xfId="0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37" fillId="0" borderId="87" xfId="0" applyFont="1" applyBorder="1" applyAlignment="1">
      <alignment horizontal="center" vertical="center" wrapText="1"/>
    </xf>
    <xf numFmtId="0" fontId="37" fillId="0" borderId="86" xfId="0" applyFont="1" applyBorder="1" applyAlignment="1">
      <alignment horizontal="center" vertical="center" wrapText="1"/>
    </xf>
    <xf numFmtId="0" fontId="37" fillId="0" borderId="40" xfId="0" applyFont="1" applyBorder="1" applyAlignment="1">
      <alignment horizontal="center" vertical="center" wrapText="1"/>
    </xf>
    <xf numFmtId="0" fontId="37" fillId="0" borderId="71" xfId="0" applyFont="1" applyBorder="1" applyAlignment="1">
      <alignment horizontal="center" vertical="center" wrapText="1"/>
    </xf>
    <xf numFmtId="0" fontId="56" fillId="0" borderId="12" xfId="0" applyFont="1" applyBorder="1" applyAlignment="1">
      <alignment horizontal="center" vertical="center" wrapText="1"/>
    </xf>
    <xf numFmtId="0" fontId="56" fillId="3" borderId="12" xfId="0" applyFont="1" applyFill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66" xfId="0" applyBorder="1" applyAlignment="1">
      <alignment horizontal="center" vertical="center" wrapText="1"/>
    </xf>
    <xf numFmtId="0" fontId="0" fillId="0" borderId="69" xfId="0" applyBorder="1" applyAlignment="1">
      <alignment horizontal="center" vertical="center" wrapText="1"/>
    </xf>
    <xf numFmtId="0" fontId="28" fillId="0" borderId="53" xfId="0" applyFont="1" applyBorder="1" applyAlignment="1">
      <alignment horizontal="center" vertical="center" wrapText="1"/>
    </xf>
    <xf numFmtId="0" fontId="28" fillId="0" borderId="66" xfId="0" applyFont="1" applyBorder="1" applyAlignment="1">
      <alignment horizontal="center" vertical="center" wrapText="1"/>
    </xf>
    <xf numFmtId="0" fontId="28" fillId="0" borderId="27" xfId="0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56" fillId="0" borderId="12" xfId="0" applyFont="1" applyBorder="1" applyAlignment="1">
      <alignment horizontal="center" vertical="center" textRotation="255" wrapText="1"/>
    </xf>
    <xf numFmtId="0" fontId="56" fillId="29" borderId="12" xfId="0" applyFont="1" applyFill="1" applyBorder="1" applyAlignment="1">
      <alignment horizontal="center" vertical="center" wrapText="1"/>
    </xf>
    <xf numFmtId="0" fontId="56" fillId="10" borderId="12" xfId="0" applyFont="1" applyFill="1" applyBorder="1" applyAlignment="1">
      <alignment horizontal="center" vertical="center" wrapText="1"/>
    </xf>
    <xf numFmtId="0" fontId="56" fillId="26" borderId="12" xfId="0" applyFont="1" applyFill="1" applyBorder="1" applyAlignment="1">
      <alignment horizontal="center" vertical="center" wrapText="1"/>
    </xf>
    <xf numFmtId="0" fontId="56" fillId="24" borderId="12" xfId="0" applyFont="1" applyFill="1" applyBorder="1" applyAlignment="1">
      <alignment horizontal="center" vertical="center" wrapText="1"/>
    </xf>
    <xf numFmtId="0" fontId="55" fillId="2" borderId="12" xfId="0" applyFont="1" applyFill="1" applyBorder="1" applyAlignment="1">
      <alignment horizontal="center" vertical="center" wrapText="1"/>
    </xf>
    <xf numFmtId="0" fontId="20" fillId="2" borderId="10" xfId="0" applyFont="1" applyFill="1" applyBorder="1" applyAlignment="1">
      <alignment horizontal="center"/>
    </xf>
    <xf numFmtId="0" fontId="20" fillId="2" borderId="14" xfId="0" applyFont="1" applyFill="1" applyBorder="1" applyAlignment="1">
      <alignment horizontal="center"/>
    </xf>
    <xf numFmtId="0" fontId="26" fillId="27" borderId="17" xfId="0" applyFont="1" applyFill="1" applyBorder="1" applyAlignment="1">
      <alignment horizontal="center" vertical="center"/>
    </xf>
    <xf numFmtId="0" fontId="26" fillId="27" borderId="3" xfId="0" applyFont="1" applyFill="1" applyBorder="1" applyAlignment="1">
      <alignment horizontal="center" vertical="center"/>
    </xf>
    <xf numFmtId="0" fontId="49" fillId="0" borderId="10" xfId="0" applyFont="1" applyBorder="1" applyAlignment="1">
      <alignment horizontal="center" vertical="center"/>
    </xf>
    <xf numFmtId="0" fontId="49" fillId="0" borderId="24" xfId="0" applyFont="1" applyBorder="1" applyAlignment="1">
      <alignment horizontal="center" vertical="center"/>
    </xf>
    <xf numFmtId="0" fontId="49" fillId="0" borderId="14" xfId="0" applyFont="1" applyBorder="1" applyAlignment="1">
      <alignment horizontal="center" vertical="center"/>
    </xf>
    <xf numFmtId="0" fontId="28" fillId="0" borderId="25" xfId="0" applyFont="1" applyBorder="1" applyAlignment="1">
      <alignment horizontal="center"/>
    </xf>
    <xf numFmtId="0" fontId="0" fillId="27" borderId="79" xfId="0" applyFill="1" applyBorder="1" applyAlignment="1">
      <alignment horizontal="center" vertical="center"/>
    </xf>
    <xf numFmtId="0" fontId="0" fillId="27" borderId="20" xfId="0" applyFill="1" applyBorder="1" applyAlignment="1">
      <alignment horizontal="center" vertical="center"/>
    </xf>
    <xf numFmtId="0" fontId="0" fillId="27" borderId="52" xfId="0" applyFill="1" applyBorder="1" applyAlignment="1">
      <alignment horizontal="center" vertical="center"/>
    </xf>
    <xf numFmtId="0" fontId="0" fillId="27" borderId="3" xfId="0" applyFill="1" applyBorder="1" applyAlignment="1">
      <alignment horizontal="center" vertical="center"/>
    </xf>
    <xf numFmtId="0" fontId="0" fillId="27" borderId="60" xfId="0" applyFill="1" applyBorder="1" applyAlignment="1">
      <alignment horizontal="center" vertical="center"/>
    </xf>
    <xf numFmtId="0" fontId="0" fillId="27" borderId="68" xfId="0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33" fillId="27" borderId="17" xfId="0" applyFont="1" applyFill="1" applyBorder="1" applyAlignment="1">
      <alignment horizontal="center" vertical="center"/>
    </xf>
    <xf numFmtId="0" fontId="33" fillId="27" borderId="20" xfId="0" applyFont="1" applyFill="1" applyBorder="1" applyAlignment="1">
      <alignment horizontal="center" vertical="center"/>
    </xf>
    <xf numFmtId="0" fontId="33" fillId="27" borderId="3" xfId="0" applyFont="1" applyFill="1" applyBorder="1" applyAlignment="1">
      <alignment horizontal="center" vertical="center"/>
    </xf>
    <xf numFmtId="0" fontId="28" fillId="0" borderId="48" xfId="0" applyFont="1" applyBorder="1" applyAlignment="1">
      <alignment horizontal="center"/>
    </xf>
    <xf numFmtId="0" fontId="28" fillId="0" borderId="74" xfId="0" applyFont="1" applyBorder="1" applyAlignment="1">
      <alignment horizontal="center"/>
    </xf>
    <xf numFmtId="0" fontId="28" fillId="0" borderId="50" xfId="0" applyFont="1" applyBorder="1" applyAlignment="1">
      <alignment horizontal="center"/>
    </xf>
    <xf numFmtId="0" fontId="10" fillId="27" borderId="60" xfId="0" applyFont="1" applyFill="1" applyBorder="1" applyAlignment="1">
      <alignment horizontal="center" vertical="center"/>
    </xf>
    <xf numFmtId="0" fontId="10" fillId="27" borderId="3" xfId="0" applyFont="1" applyFill="1" applyBorder="1" applyAlignment="1">
      <alignment horizontal="center" vertical="center"/>
    </xf>
    <xf numFmtId="0" fontId="26" fillId="6" borderId="29" xfId="0" applyFont="1" applyFill="1" applyBorder="1" applyAlignment="1">
      <alignment horizontal="center" vertical="center"/>
    </xf>
    <xf numFmtId="0" fontId="26" fillId="6" borderId="37" xfId="0" applyFont="1" applyFill="1" applyBorder="1" applyAlignment="1">
      <alignment horizontal="center" vertical="center"/>
    </xf>
    <xf numFmtId="0" fontId="50" fillId="6" borderId="20" xfId="0" applyFont="1" applyFill="1" applyBorder="1" applyAlignment="1">
      <alignment horizontal="center" vertical="center"/>
    </xf>
    <xf numFmtId="0" fontId="50" fillId="6" borderId="52" xfId="0" applyFont="1" applyFill="1" applyBorder="1" applyAlignment="1">
      <alignment horizontal="center" vertical="center"/>
    </xf>
    <xf numFmtId="0" fontId="33" fillId="6" borderId="20" xfId="0" applyFont="1" applyFill="1" applyBorder="1" applyAlignment="1">
      <alignment horizontal="center" vertical="center"/>
    </xf>
    <xf numFmtId="0" fontId="33" fillId="6" borderId="52" xfId="0" applyFont="1" applyFill="1" applyBorder="1" applyAlignment="1">
      <alignment horizontal="center" vertical="center"/>
    </xf>
    <xf numFmtId="0" fontId="33" fillId="27" borderId="52" xfId="0" applyFont="1" applyFill="1" applyBorder="1" applyAlignment="1">
      <alignment horizontal="center" vertical="center"/>
    </xf>
    <xf numFmtId="0" fontId="0" fillId="27" borderId="22" xfId="0" applyFill="1" applyBorder="1" applyAlignment="1">
      <alignment horizontal="center" vertical="center"/>
    </xf>
    <xf numFmtId="0" fontId="0" fillId="27" borderId="55" xfId="0" applyFill="1" applyBorder="1" applyAlignment="1">
      <alignment horizontal="center" vertical="center"/>
    </xf>
    <xf numFmtId="0" fontId="26" fillId="6" borderId="78" xfId="0" applyFont="1" applyFill="1" applyBorder="1" applyAlignment="1">
      <alignment horizontal="center" vertical="center"/>
    </xf>
    <xf numFmtId="0" fontId="50" fillId="6" borderId="79" xfId="0" applyFont="1" applyFill="1" applyBorder="1" applyAlignment="1">
      <alignment horizontal="center" vertical="center"/>
    </xf>
    <xf numFmtId="0" fontId="33" fillId="6" borderId="79" xfId="0" applyFont="1" applyFill="1" applyBorder="1" applyAlignment="1">
      <alignment horizontal="center" vertical="center"/>
    </xf>
    <xf numFmtId="0" fontId="33" fillId="27" borderId="79" xfId="0" applyFont="1" applyFill="1" applyBorder="1" applyAlignment="1">
      <alignment horizontal="center" vertical="center"/>
    </xf>
    <xf numFmtId="0" fontId="0" fillId="27" borderId="89" xfId="0" applyFill="1" applyBorder="1" applyAlignment="1">
      <alignment horizontal="center" vertical="center"/>
    </xf>
    <xf numFmtId="0" fontId="0" fillId="27" borderId="15" xfId="0" applyFill="1" applyBorder="1" applyAlignment="1">
      <alignment horizontal="center" vertical="center"/>
    </xf>
    <xf numFmtId="0" fontId="0" fillId="27" borderId="36" xfId="0" applyFill="1" applyBorder="1" applyAlignment="1">
      <alignment horizontal="center" vertical="center"/>
    </xf>
    <xf numFmtId="0" fontId="33" fillId="27" borderId="78" xfId="0" applyFont="1" applyFill="1" applyBorder="1" applyAlignment="1">
      <alignment horizontal="center" vertical="center"/>
    </xf>
    <xf numFmtId="0" fontId="33" fillId="27" borderId="29" xfId="0" applyFont="1" applyFill="1" applyBorder="1" applyAlignment="1">
      <alignment horizontal="center" vertical="center"/>
    </xf>
    <xf numFmtId="0" fontId="33" fillId="6" borderId="67" xfId="0" applyFont="1" applyFill="1" applyBorder="1" applyAlignment="1">
      <alignment horizontal="center" vertical="center"/>
    </xf>
    <xf numFmtId="0" fontId="33" fillId="6" borderId="21" xfId="0" applyFont="1" applyFill="1" applyBorder="1" applyAlignment="1">
      <alignment horizontal="center" vertical="center"/>
    </xf>
    <xf numFmtId="0" fontId="33" fillId="6" borderId="78" xfId="0" applyFont="1" applyFill="1" applyBorder="1" applyAlignment="1">
      <alignment horizontal="center" vertical="center"/>
    </xf>
    <xf numFmtId="0" fontId="33" fillId="6" borderId="29" xfId="0" applyFont="1" applyFill="1" applyBorder="1" applyAlignment="1">
      <alignment horizontal="center" vertical="center"/>
    </xf>
    <xf numFmtId="0" fontId="33" fillId="6" borderId="37" xfId="0" applyFont="1" applyFill="1" applyBorder="1" applyAlignment="1">
      <alignment horizontal="center" vertical="center"/>
    </xf>
    <xf numFmtId="0" fontId="50" fillId="6" borderId="67" xfId="0" applyFont="1" applyFill="1" applyBorder="1" applyAlignment="1">
      <alignment horizontal="center" vertical="center"/>
    </xf>
    <xf numFmtId="0" fontId="50" fillId="6" borderId="21" xfId="0" applyFont="1" applyFill="1" applyBorder="1" applyAlignment="1">
      <alignment horizontal="center" vertical="center"/>
    </xf>
    <xf numFmtId="0" fontId="50" fillId="6" borderId="54" xfId="0" applyFont="1" applyFill="1" applyBorder="1" applyAlignment="1">
      <alignment horizontal="center" vertical="center"/>
    </xf>
    <xf numFmtId="0" fontId="0" fillId="27" borderId="61" xfId="0" applyFill="1" applyBorder="1" applyAlignment="1">
      <alignment horizontal="center" vertical="center"/>
    </xf>
    <xf numFmtId="0" fontId="0" fillId="27" borderId="62" xfId="0" applyFill="1" applyBorder="1" applyAlignment="1">
      <alignment horizontal="center" vertical="center"/>
    </xf>
    <xf numFmtId="0" fontId="0" fillId="27" borderId="64" xfId="0" applyFill="1" applyBorder="1" applyAlignment="1">
      <alignment horizontal="center" vertical="center"/>
    </xf>
    <xf numFmtId="0" fontId="50" fillId="6" borderId="92" xfId="0" applyFont="1" applyFill="1" applyBorder="1" applyAlignment="1">
      <alignment horizontal="center" vertical="center"/>
    </xf>
    <xf numFmtId="0" fontId="50" fillId="6" borderId="63" xfId="0" applyFont="1" applyFill="1" applyBorder="1" applyAlignment="1">
      <alignment horizontal="center" vertical="center"/>
    </xf>
    <xf numFmtId="0" fontId="50" fillId="6" borderId="65" xfId="0" applyFont="1" applyFill="1" applyBorder="1" applyAlignment="1">
      <alignment horizontal="center" vertical="center"/>
    </xf>
    <xf numFmtId="0" fontId="33" fillId="6" borderId="54" xfId="0" applyFont="1" applyFill="1" applyBorder="1" applyAlignment="1">
      <alignment horizontal="center" vertical="center"/>
    </xf>
    <xf numFmtId="0" fontId="33" fillId="6" borderId="17" xfId="0" applyFont="1" applyFill="1" applyBorder="1" applyAlignment="1">
      <alignment horizontal="center" vertical="center"/>
    </xf>
    <xf numFmtId="0" fontId="33" fillId="6" borderId="3" xfId="0" applyFont="1" applyFill="1" applyBorder="1" applyAlignment="1">
      <alignment horizontal="center" vertical="center"/>
    </xf>
    <xf numFmtId="0" fontId="50" fillId="6" borderId="17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horizontal="center" vertical="center"/>
    </xf>
    <xf numFmtId="0" fontId="0" fillId="27" borderId="17" xfId="0" applyFill="1" applyBorder="1" applyAlignment="1">
      <alignment horizontal="center" vertical="center"/>
    </xf>
    <xf numFmtId="0" fontId="33" fillId="6" borderId="80" xfId="0" applyFont="1" applyFill="1" applyBorder="1" applyAlignment="1">
      <alignment horizontal="center" vertical="center"/>
    </xf>
    <xf numFmtId="0" fontId="33" fillId="6" borderId="11" xfId="0" applyFont="1" applyFill="1" applyBorder="1" applyAlignment="1">
      <alignment horizontal="center" vertical="center"/>
    </xf>
    <xf numFmtId="0" fontId="50" fillId="6" borderId="83" xfId="0" applyFont="1" applyFill="1" applyBorder="1" applyAlignment="1">
      <alignment horizontal="center" vertical="center"/>
    </xf>
    <xf numFmtId="0" fontId="50" fillId="6" borderId="12" xfId="0" applyFont="1" applyFill="1" applyBorder="1" applyAlignment="1">
      <alignment horizontal="center" vertical="center"/>
    </xf>
    <xf numFmtId="0" fontId="33" fillId="6" borderId="83" xfId="0" applyFont="1" applyFill="1" applyBorder="1" applyAlignment="1">
      <alignment horizontal="center" vertical="center"/>
    </xf>
    <xf numFmtId="0" fontId="33" fillId="6" borderId="12" xfId="0" applyFont="1" applyFill="1" applyBorder="1" applyAlignment="1">
      <alignment horizontal="center" vertical="center"/>
    </xf>
    <xf numFmtId="0" fontId="0" fillId="27" borderId="83" xfId="0" applyFill="1" applyBorder="1" applyAlignment="1">
      <alignment horizontal="center" vertical="center"/>
    </xf>
    <xf numFmtId="0" fontId="0" fillId="27" borderId="12" xfId="0" applyFill="1" applyBorder="1" applyAlignment="1">
      <alignment horizontal="center" vertical="center"/>
    </xf>
    <xf numFmtId="0" fontId="33" fillId="6" borderId="2" xfId="0" applyFont="1" applyFill="1" applyBorder="1" applyAlignment="1">
      <alignment horizontal="center" vertical="center"/>
    </xf>
    <xf numFmtId="0" fontId="50" fillId="6" borderId="2" xfId="0" applyFont="1" applyFill="1" applyBorder="1" applyAlignment="1">
      <alignment horizontal="center" vertical="center"/>
    </xf>
    <xf numFmtId="0" fontId="0" fillId="27" borderId="2" xfId="0" applyFill="1" applyBorder="1" applyAlignment="1">
      <alignment horizontal="center" vertical="center"/>
    </xf>
    <xf numFmtId="49" fontId="0" fillId="27" borderId="79" xfId="0" applyNumberFormat="1" applyFill="1" applyBorder="1" applyAlignment="1">
      <alignment horizontal="center" vertical="center"/>
    </xf>
    <xf numFmtId="49" fontId="0" fillId="27" borderId="52" xfId="0" applyNumberFormat="1" applyFill="1" applyBorder="1" applyAlignment="1">
      <alignment horizontal="center" vertical="center"/>
    </xf>
    <xf numFmtId="0" fontId="50" fillId="27" borderId="79" xfId="0" applyFont="1" applyFill="1" applyBorder="1" applyAlignment="1">
      <alignment horizontal="center" vertical="center"/>
    </xf>
    <xf numFmtId="0" fontId="50" fillId="27" borderId="52" xfId="0" applyFont="1" applyFill="1" applyBorder="1" applyAlignment="1">
      <alignment horizontal="center" vertical="center"/>
    </xf>
    <xf numFmtId="0" fontId="49" fillId="0" borderId="48" xfId="0" applyFont="1" applyBorder="1" applyAlignment="1">
      <alignment horizontal="center"/>
    </xf>
    <xf numFmtId="0" fontId="49" fillId="0" borderId="74" xfId="0" applyFont="1" applyBorder="1" applyAlignment="1">
      <alignment horizontal="center"/>
    </xf>
    <xf numFmtId="0" fontId="49" fillId="0" borderId="50" xfId="0" applyFont="1" applyBorder="1" applyAlignment="1">
      <alignment horizontal="center"/>
    </xf>
    <xf numFmtId="0" fontId="10" fillId="27" borderId="75" xfId="0" applyFont="1" applyFill="1" applyBorder="1" applyAlignment="1">
      <alignment horizontal="center" vertical="center"/>
    </xf>
    <xf numFmtId="0" fontId="10" fillId="27" borderId="76" xfId="0" applyFont="1" applyFill="1" applyBorder="1" applyAlignment="1">
      <alignment horizontal="center" vertical="center"/>
    </xf>
    <xf numFmtId="0" fontId="0" fillId="27" borderId="85" xfId="0" applyFill="1" applyBorder="1" applyAlignment="1">
      <alignment horizontal="center" vertical="center"/>
    </xf>
    <xf numFmtId="0" fontId="0" fillId="27" borderId="28" xfId="0" applyFill="1" applyBorder="1" applyAlignment="1">
      <alignment horizontal="center" vertical="center"/>
    </xf>
    <xf numFmtId="0" fontId="0" fillId="27" borderId="38" xfId="0" applyFill="1" applyBorder="1" applyAlignment="1">
      <alignment horizontal="center" vertical="center"/>
    </xf>
    <xf numFmtId="0" fontId="10" fillId="27" borderId="79" xfId="0" applyFont="1" applyFill="1" applyBorder="1" applyAlignment="1">
      <alignment horizontal="center" vertical="center"/>
    </xf>
    <xf numFmtId="0" fontId="10" fillId="27" borderId="20" xfId="0" applyFont="1" applyFill="1" applyBorder="1" applyAlignment="1">
      <alignment horizontal="center" vertical="center"/>
    </xf>
    <xf numFmtId="0" fontId="33" fillId="6" borderId="5" xfId="0" applyFont="1" applyFill="1" applyBorder="1" applyAlignment="1">
      <alignment horizontal="center" vertical="center"/>
    </xf>
    <xf numFmtId="0" fontId="33" fillId="6" borderId="7" xfId="0" applyFont="1" applyFill="1" applyBorder="1" applyAlignment="1">
      <alignment horizontal="center" vertical="center"/>
    </xf>
    <xf numFmtId="0" fontId="33" fillId="79" borderId="18" xfId="0" applyFont="1" applyFill="1" applyBorder="1" applyAlignment="1">
      <alignment horizontal="center" vertical="center"/>
    </xf>
    <xf numFmtId="0" fontId="33" fillId="79" borderId="29" xfId="0" applyFont="1" applyFill="1" applyBorder="1" applyAlignment="1">
      <alignment horizontal="center" vertical="center"/>
    </xf>
    <xf numFmtId="0" fontId="33" fillId="79" borderId="5" xfId="0" applyFont="1" applyFill="1" applyBorder="1" applyAlignment="1">
      <alignment horizontal="center" vertical="center"/>
    </xf>
    <xf numFmtId="0" fontId="50" fillId="79" borderId="17" xfId="0" applyFont="1" applyFill="1" applyBorder="1" applyAlignment="1">
      <alignment horizontal="center" vertical="center"/>
    </xf>
    <xf numFmtId="0" fontId="50" fillId="79" borderId="20" xfId="0" applyFont="1" applyFill="1" applyBorder="1" applyAlignment="1">
      <alignment horizontal="center" vertical="center"/>
    </xf>
    <xf numFmtId="0" fontId="50" fillId="79" borderId="3" xfId="0" applyFont="1" applyFill="1" applyBorder="1" applyAlignment="1">
      <alignment horizontal="center" vertical="center"/>
    </xf>
    <xf numFmtId="0" fontId="33" fillId="79" borderId="17" xfId="0" applyFont="1" applyFill="1" applyBorder="1" applyAlignment="1">
      <alignment horizontal="center" vertical="center"/>
    </xf>
    <xf numFmtId="0" fontId="33" fillId="79" borderId="20" xfId="0" applyFont="1" applyFill="1" applyBorder="1" applyAlignment="1">
      <alignment horizontal="center" vertical="center"/>
    </xf>
    <xf numFmtId="0" fontId="33" fillId="79" borderId="3" xfId="0" applyFon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79" xfId="0" applyFill="1" applyBorder="1" applyAlignment="1">
      <alignment horizontal="center" vertical="center"/>
    </xf>
    <xf numFmtId="0" fontId="0" fillId="3" borderId="52" xfId="0" applyFill="1" applyBorder="1" applyAlignment="1">
      <alignment horizontal="center" vertical="center"/>
    </xf>
    <xf numFmtId="0" fontId="33" fillId="6" borderId="18" xfId="0" applyFont="1" applyFill="1" applyBorder="1" applyAlignment="1">
      <alignment horizontal="center" vertical="center"/>
    </xf>
    <xf numFmtId="0" fontId="33" fillId="27" borderId="37" xfId="0" applyFont="1" applyFill="1" applyBorder="1" applyAlignment="1">
      <alignment horizontal="center" vertical="center"/>
    </xf>
    <xf numFmtId="0" fontId="24" fillId="23" borderId="79" xfId="0" applyFont="1" applyFill="1" applyBorder="1" applyAlignment="1">
      <alignment horizontal="center" vertical="center"/>
    </xf>
    <xf numFmtId="0" fontId="24" fillId="23" borderId="20" xfId="0" applyFont="1" applyFill="1" applyBorder="1" applyAlignment="1">
      <alignment horizontal="center" vertical="center"/>
    </xf>
    <xf numFmtId="0" fontId="24" fillId="23" borderId="52" xfId="0" applyFont="1" applyFill="1" applyBorder="1" applyAlignment="1">
      <alignment horizontal="center" vertical="center"/>
    </xf>
    <xf numFmtId="49" fontId="0" fillId="27" borderId="20" xfId="0" applyNumberFormat="1" applyFill="1" applyBorder="1" applyAlignment="1">
      <alignment horizontal="center" vertical="center"/>
    </xf>
    <xf numFmtId="0" fontId="33" fillId="0" borderId="79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50" fillId="79" borderId="79" xfId="0" applyFont="1" applyFill="1" applyBorder="1" applyAlignment="1">
      <alignment horizontal="center" vertical="center"/>
    </xf>
    <xf numFmtId="0" fontId="50" fillId="79" borderId="52" xfId="0" applyFont="1" applyFill="1" applyBorder="1" applyAlignment="1">
      <alignment horizontal="center" vertical="center"/>
    </xf>
    <xf numFmtId="0" fontId="33" fillId="79" borderId="79" xfId="0" applyFont="1" applyFill="1" applyBorder="1" applyAlignment="1">
      <alignment horizontal="center" vertical="center"/>
    </xf>
    <xf numFmtId="0" fontId="33" fillId="79" borderId="52" xfId="0" applyFont="1" applyFill="1" applyBorder="1" applyAlignment="1">
      <alignment horizontal="center" vertical="center"/>
    </xf>
    <xf numFmtId="0" fontId="33" fillId="79" borderId="37" xfId="0" applyFont="1" applyFill="1" applyBorder="1" applyAlignment="1">
      <alignment horizontal="center" vertical="center"/>
    </xf>
    <xf numFmtId="0" fontId="33" fillId="79" borderId="78" xfId="0" applyFont="1" applyFill="1" applyBorder="1" applyAlignment="1">
      <alignment horizontal="center" vertical="center"/>
    </xf>
    <xf numFmtId="0" fontId="33" fillId="3" borderId="79" xfId="0" applyFont="1" applyFill="1" applyBorder="1" applyAlignment="1">
      <alignment horizontal="center" vertical="center"/>
    </xf>
    <xf numFmtId="0" fontId="33" fillId="3" borderId="3" xfId="0" applyFont="1" applyFill="1" applyBorder="1" applyAlignment="1">
      <alignment horizontal="center" vertical="center"/>
    </xf>
    <xf numFmtId="0" fontId="27" fillId="110" borderId="12" xfId="42" applyFont="1" applyFill="1" applyBorder="1" applyAlignment="1">
      <alignment horizontal="center"/>
    </xf>
    <xf numFmtId="0" fontId="34" fillId="2" borderId="12" xfId="45" applyFont="1" applyFill="1" applyBorder="1" applyAlignment="1">
      <alignment horizontal="center" vertical="center" textRotation="90" wrapText="1"/>
    </xf>
    <xf numFmtId="0" fontId="34" fillId="2" borderId="17" xfId="45" applyFont="1" applyFill="1" applyBorder="1" applyAlignment="1">
      <alignment horizontal="center" vertical="center" textRotation="90" wrapText="1"/>
    </xf>
    <xf numFmtId="0" fontId="34" fillId="2" borderId="20" xfId="45" applyFont="1" applyFill="1" applyBorder="1" applyAlignment="1">
      <alignment horizontal="center" vertical="center" textRotation="90" wrapText="1"/>
    </xf>
    <xf numFmtId="0" fontId="34" fillId="2" borderId="3" xfId="45" applyFont="1" applyFill="1" applyBorder="1" applyAlignment="1">
      <alignment horizontal="center" vertical="center" textRotation="90" wrapText="1"/>
    </xf>
    <xf numFmtId="0" fontId="3" fillId="0" borderId="17" xfId="45" applyBorder="1" applyAlignment="1">
      <alignment horizontal="center" vertical="center"/>
    </xf>
    <xf numFmtId="0" fontId="3" fillId="0" borderId="3" xfId="45" applyBorder="1" applyAlignment="1">
      <alignment horizontal="center" vertical="center"/>
    </xf>
    <xf numFmtId="0" fontId="56" fillId="47" borderId="12" xfId="0" applyFont="1" applyFill="1" applyBorder="1" applyAlignment="1">
      <alignment horizontal="center" vertical="center" wrapText="1"/>
    </xf>
    <xf numFmtId="0" fontId="56" fillId="9" borderId="12" xfId="0" applyFont="1" applyFill="1" applyBorder="1" applyAlignment="1">
      <alignment horizontal="center" vertical="center" wrapText="1"/>
    </xf>
    <xf numFmtId="0" fontId="56" fillId="27" borderId="12" xfId="0" applyFont="1" applyFill="1" applyBorder="1" applyAlignment="1">
      <alignment horizontal="center" vertical="center" wrapText="1"/>
    </xf>
    <xf numFmtId="0" fontId="37" fillId="0" borderId="88" xfId="0" applyFont="1" applyBorder="1" applyAlignment="1">
      <alignment horizontal="center" vertical="center" wrapText="1"/>
    </xf>
    <xf numFmtId="0" fontId="37" fillId="0" borderId="70" xfId="0" applyFont="1" applyBorder="1" applyAlignment="1">
      <alignment horizontal="center" vertical="center" wrapText="1"/>
    </xf>
    <xf numFmtId="0" fontId="71" fillId="0" borderId="53" xfId="0" applyFont="1" applyBorder="1" applyAlignment="1">
      <alignment horizontal="center" vertical="center" wrapText="1"/>
    </xf>
    <xf numFmtId="0" fontId="71" fillId="0" borderId="66" xfId="0" applyFont="1" applyBorder="1" applyAlignment="1">
      <alignment horizontal="center" vertical="center" wrapText="1"/>
    </xf>
    <xf numFmtId="0" fontId="71" fillId="0" borderId="69" xfId="0" applyFont="1" applyBorder="1" applyAlignment="1">
      <alignment horizontal="center" vertical="center" wrapText="1"/>
    </xf>
    <xf numFmtId="0" fontId="71" fillId="0" borderId="27" xfId="0" applyFont="1" applyBorder="1" applyAlignment="1">
      <alignment horizontal="center" vertical="center" wrapText="1"/>
    </xf>
    <xf numFmtId="0" fontId="71" fillId="0" borderId="0" xfId="0" applyFont="1" applyAlignment="1">
      <alignment horizontal="center" vertical="center" wrapText="1"/>
    </xf>
    <xf numFmtId="0" fontId="71" fillId="0" borderId="23" xfId="0" applyFont="1" applyBorder="1" applyAlignment="1">
      <alignment horizontal="center" vertical="center" wrapText="1"/>
    </xf>
    <xf numFmtId="0" fontId="57" fillId="23" borderId="12" xfId="0" applyFont="1" applyFill="1" applyBorder="1" applyAlignment="1">
      <alignment horizontal="center" vertical="center" wrapText="1"/>
    </xf>
    <xf numFmtId="0" fontId="56" fillId="31" borderId="12" xfId="0" applyFont="1" applyFill="1" applyBorder="1" applyAlignment="1">
      <alignment horizontal="center" vertical="center" wrapText="1"/>
    </xf>
    <xf numFmtId="0" fontId="56" fillId="32" borderId="12" xfId="0" applyFont="1" applyFill="1" applyBorder="1" applyAlignment="1">
      <alignment horizontal="center" vertical="center" wrapText="1"/>
    </xf>
    <xf numFmtId="0" fontId="4" fillId="0" borderId="12" xfId="44" applyBorder="1" applyAlignment="1">
      <alignment horizontal="center" vertical="center"/>
    </xf>
    <xf numFmtId="0" fontId="0" fillId="0" borderId="95" xfId="0" applyBorder="1" applyAlignment="1">
      <alignment horizontal="center" vertical="center" wrapText="1"/>
    </xf>
    <xf numFmtId="0" fontId="0" fillId="0" borderId="74" xfId="0" applyBorder="1" applyAlignment="1">
      <alignment horizontal="center" vertical="center" wrapText="1"/>
    </xf>
    <xf numFmtId="0" fontId="0" fillId="0" borderId="96" xfId="0" applyBorder="1" applyAlignment="1">
      <alignment horizontal="center" vertical="center" wrapText="1"/>
    </xf>
    <xf numFmtId="0" fontId="38" fillId="2" borderId="12" xfId="44" applyFont="1" applyFill="1" applyBorder="1" applyAlignment="1">
      <alignment horizontal="center" vertical="center" textRotation="90" wrapText="1"/>
    </xf>
    <xf numFmtId="0" fontId="56" fillId="0" borderId="12" xfId="0" applyFont="1" applyBorder="1" applyAlignment="1">
      <alignment horizontal="center" vertical="center"/>
    </xf>
    <xf numFmtId="0" fontId="58" fillId="38" borderId="12" xfId="0" applyFont="1" applyFill="1" applyBorder="1" applyAlignment="1">
      <alignment horizontal="center" vertical="center" wrapText="1"/>
    </xf>
    <xf numFmtId="0" fontId="28" fillId="0" borderId="69" xfId="0" applyFont="1" applyBorder="1" applyAlignment="1">
      <alignment horizontal="center" vertical="center" wrapText="1"/>
    </xf>
    <xf numFmtId="0" fontId="28" fillId="0" borderId="23" xfId="0" applyFont="1" applyBorder="1" applyAlignment="1">
      <alignment horizontal="center" vertical="center" wrapText="1"/>
    </xf>
    <xf numFmtId="0" fontId="59" fillId="0" borderId="12" xfId="0" applyFont="1" applyBorder="1" applyAlignment="1">
      <alignment horizontal="center" vertical="center" wrapText="1"/>
    </xf>
    <xf numFmtId="0" fontId="59" fillId="39" borderId="12" xfId="0" applyFont="1" applyFill="1" applyBorder="1" applyAlignment="1">
      <alignment horizontal="center" vertical="center" wrapText="1"/>
    </xf>
    <xf numFmtId="0" fontId="59" fillId="40" borderId="12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59" fillId="42" borderId="12" xfId="0" applyFont="1" applyFill="1" applyBorder="1" applyAlignment="1">
      <alignment horizontal="center" vertical="center" wrapText="1"/>
    </xf>
    <xf numFmtId="0" fontId="38" fillId="2" borderId="12" xfId="43" applyFont="1" applyFill="1" applyBorder="1" applyAlignment="1">
      <alignment horizontal="center" vertical="center" textRotation="90" wrapText="1"/>
    </xf>
    <xf numFmtId="0" fontId="4" fillId="0" borderId="12" xfId="43" applyBorder="1" applyAlignment="1">
      <alignment horizontal="center" vertical="center"/>
    </xf>
    <xf numFmtId="0" fontId="55" fillId="2" borderId="10" xfId="0" applyFont="1" applyFill="1" applyBorder="1" applyAlignment="1">
      <alignment horizontal="center" vertical="center" wrapText="1"/>
    </xf>
    <xf numFmtId="0" fontId="56" fillId="14" borderId="10" xfId="0" applyFont="1" applyFill="1" applyBorder="1" applyAlignment="1">
      <alignment horizontal="center" vertical="center" wrapText="1"/>
    </xf>
    <xf numFmtId="0" fontId="65" fillId="2" borderId="12" xfId="0" applyFont="1" applyFill="1" applyBorder="1" applyAlignment="1">
      <alignment horizontal="center" vertical="center" textRotation="90" wrapText="1"/>
    </xf>
    <xf numFmtId="0" fontId="2" fillId="0" borderId="12" xfId="0" applyFont="1" applyBorder="1" applyAlignment="1">
      <alignment horizontal="center" vertical="center"/>
    </xf>
    <xf numFmtId="0" fontId="8" fillId="27" borderId="0" xfId="0" applyFont="1" applyFill="1" applyAlignment="1">
      <alignment horizontal="center" vertical="center"/>
    </xf>
    <xf numFmtId="0" fontId="3" fillId="27" borderId="0" xfId="0" applyFont="1" applyFill="1" applyAlignment="1">
      <alignment horizontal="center" vertical="center"/>
    </xf>
    <xf numFmtId="0" fontId="34" fillId="27" borderId="0" xfId="0" applyFont="1" applyFill="1" applyAlignment="1">
      <alignment horizontal="center" vertical="center" textRotation="90" wrapText="1"/>
    </xf>
    <xf numFmtId="0" fontId="55" fillId="2" borderId="26" xfId="0" applyFont="1" applyFill="1" applyBorder="1" applyAlignment="1">
      <alignment horizontal="center" vertical="center" wrapText="1"/>
    </xf>
    <xf numFmtId="0" fontId="55" fillId="2" borderId="0" xfId="0" applyFont="1" applyFill="1" applyAlignment="1">
      <alignment horizontal="center" vertical="center" wrapText="1"/>
    </xf>
    <xf numFmtId="0" fontId="55" fillId="2" borderId="25" xfId="0" applyFont="1" applyFill="1" applyBorder="1" applyAlignment="1">
      <alignment horizontal="center" vertical="center" wrapText="1"/>
    </xf>
    <xf numFmtId="0" fontId="65" fillId="2" borderId="12" xfId="0" applyFont="1" applyFill="1" applyBorder="1" applyAlignment="1">
      <alignment horizontal="center" vertical="center" wrapText="1"/>
    </xf>
    <xf numFmtId="0" fontId="66" fillId="27" borderId="12" xfId="0" applyFont="1" applyFill="1" applyBorder="1" applyAlignment="1">
      <alignment horizontal="center" vertical="center" wrapText="1"/>
    </xf>
    <xf numFmtId="0" fontId="34" fillId="2" borderId="12" xfId="0" applyFont="1" applyFill="1" applyBorder="1" applyAlignment="1">
      <alignment horizontal="center" vertical="center" textRotation="90" wrapText="1"/>
    </xf>
    <xf numFmtId="0" fontId="66" fillId="0" borderId="12" xfId="0" applyFont="1" applyBorder="1" applyAlignment="1">
      <alignment horizontal="center" vertical="center" wrapText="1"/>
    </xf>
    <xf numFmtId="0" fontId="58" fillId="67" borderId="12" xfId="0" applyFont="1" applyFill="1" applyBorder="1" applyAlignment="1">
      <alignment horizontal="center" vertical="center" wrapText="1"/>
    </xf>
    <xf numFmtId="0" fontId="55" fillId="2" borderId="17" xfId="0" applyFont="1" applyFill="1" applyBorder="1" applyAlignment="1">
      <alignment horizontal="center" vertical="center" wrapText="1"/>
    </xf>
    <xf numFmtId="0" fontId="55" fillId="2" borderId="20" xfId="0" applyFont="1" applyFill="1" applyBorder="1" applyAlignment="1">
      <alignment horizontal="center" vertical="center" wrapText="1"/>
    </xf>
    <xf numFmtId="0" fontId="55" fillId="2" borderId="3" xfId="0" applyFont="1" applyFill="1" applyBorder="1" applyAlignment="1">
      <alignment horizontal="center" vertical="center" wrapText="1"/>
    </xf>
    <xf numFmtId="0" fontId="60" fillId="6" borderId="12" xfId="0" applyFont="1" applyFill="1" applyBorder="1" applyAlignment="1">
      <alignment horizontal="center" vertical="center" wrapText="1"/>
    </xf>
    <xf numFmtId="0" fontId="56" fillId="7" borderId="12" xfId="0" applyFont="1" applyFill="1" applyBorder="1" applyAlignment="1">
      <alignment horizontal="center" vertical="center" wrapText="1"/>
    </xf>
    <xf numFmtId="0" fontId="59" fillId="68" borderId="12" xfId="0" applyFont="1" applyFill="1" applyBorder="1" applyAlignment="1">
      <alignment horizontal="center" vertical="center" wrapText="1"/>
    </xf>
    <xf numFmtId="0" fontId="56" fillId="65" borderId="12" xfId="0" applyFont="1" applyFill="1" applyBorder="1" applyAlignment="1">
      <alignment horizontal="center" vertical="center" wrapText="1"/>
    </xf>
    <xf numFmtId="0" fontId="56" fillId="4" borderId="12" xfId="0" applyFont="1" applyFill="1" applyBorder="1" applyAlignment="1">
      <alignment horizontal="center" vertical="center" wrapText="1"/>
    </xf>
    <xf numFmtId="0" fontId="65" fillId="2" borderId="17" xfId="0" applyFont="1" applyFill="1" applyBorder="1" applyAlignment="1">
      <alignment horizontal="center" vertical="center" textRotation="90" wrapText="1"/>
    </xf>
    <xf numFmtId="0" fontId="65" fillId="2" borderId="20" xfId="0" applyFont="1" applyFill="1" applyBorder="1" applyAlignment="1">
      <alignment horizontal="center" vertical="center" textRotation="90" wrapText="1"/>
    </xf>
    <xf numFmtId="0" fontId="65" fillId="2" borderId="3" xfId="0" applyFont="1" applyFill="1" applyBorder="1" applyAlignment="1">
      <alignment horizontal="center" vertical="center" textRotation="90" wrapText="1"/>
    </xf>
    <xf numFmtId="0" fontId="28" fillId="0" borderId="40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 textRotation="90" wrapText="1"/>
    </xf>
    <xf numFmtId="0" fontId="8" fillId="14" borderId="17" xfId="0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0" fontId="55" fillId="87" borderId="12" xfId="0" applyFont="1" applyFill="1" applyBorder="1" applyAlignment="1">
      <alignment horizontal="center" vertical="center" textRotation="90" wrapText="1"/>
    </xf>
    <xf numFmtId="0" fontId="8" fillId="14" borderId="12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 wrapText="1"/>
    </xf>
    <xf numFmtId="0" fontId="0" fillId="0" borderId="84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82" xfId="0" applyBorder="1" applyAlignment="1">
      <alignment horizontal="center" vertical="center" wrapText="1"/>
    </xf>
    <xf numFmtId="0" fontId="0" fillId="0" borderId="83" xfId="0" applyBorder="1" applyAlignment="1">
      <alignment horizontal="center" vertical="center" wrapText="1"/>
    </xf>
    <xf numFmtId="0" fontId="0" fillId="0" borderId="81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8" fillId="27" borderId="12" xfId="0" applyFont="1" applyFill="1" applyBorder="1" applyAlignment="1">
      <alignment horizontal="center" vertical="center" wrapText="1"/>
    </xf>
    <xf numFmtId="0" fontId="28" fillId="9" borderId="12" xfId="0" applyFont="1" applyFill="1" applyBorder="1" applyAlignment="1">
      <alignment horizontal="center" vertical="center" wrapText="1"/>
    </xf>
    <xf numFmtId="0" fontId="35" fillId="27" borderId="12" xfId="0" applyFont="1" applyFill="1" applyBorder="1" applyAlignment="1">
      <alignment horizontal="center" vertical="center" wrapText="1"/>
    </xf>
    <xf numFmtId="0" fontId="28" fillId="28" borderId="1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7" fillId="0" borderId="12" xfId="0" applyFont="1" applyBorder="1" applyAlignment="1">
      <alignment horizontal="center" vertical="center" wrapText="1"/>
    </xf>
    <xf numFmtId="0" fontId="37" fillId="0" borderId="3" xfId="0" applyFont="1" applyBorder="1" applyAlignment="1">
      <alignment horizontal="center" vertical="center" wrapText="1"/>
    </xf>
    <xf numFmtId="0" fontId="38" fillId="2" borderId="12" xfId="0" applyFont="1" applyFill="1" applyBorder="1" applyAlignment="1">
      <alignment horizontal="center" vertical="center" textRotation="90" wrapText="1"/>
    </xf>
    <xf numFmtId="0" fontId="28" fillId="0" borderId="71" xfId="0" applyFont="1" applyBorder="1" applyAlignment="1">
      <alignment horizontal="center" vertical="center" wrapText="1"/>
    </xf>
    <xf numFmtId="0" fontId="28" fillId="0" borderId="70" xfId="0" applyFont="1" applyBorder="1" applyAlignment="1">
      <alignment horizontal="center" vertical="center" wrapText="1"/>
    </xf>
    <xf numFmtId="0" fontId="20" fillId="2" borderId="12" xfId="0" applyFont="1" applyFill="1" applyBorder="1" applyAlignment="1">
      <alignment horizontal="center" vertical="center" wrapText="1"/>
    </xf>
    <xf numFmtId="0" fontId="49" fillId="72" borderId="17" xfId="29" applyFont="1" applyFill="1" applyBorder="1" applyAlignment="1">
      <alignment horizontal="center" vertical="center"/>
    </xf>
    <xf numFmtId="0" fontId="49" fillId="72" borderId="20" xfId="29" applyFont="1" applyFill="1" applyBorder="1" applyAlignment="1">
      <alignment horizontal="center" vertical="center"/>
    </xf>
    <xf numFmtId="0" fontId="49" fillId="72" borderId="3" xfId="29" applyFont="1" applyFill="1" applyBorder="1" applyAlignment="1">
      <alignment horizontal="center" vertical="center"/>
    </xf>
    <xf numFmtId="0" fontId="49" fillId="0" borderId="17" xfId="29" applyFont="1" applyBorder="1" applyAlignment="1">
      <alignment horizontal="center" vertical="center" textRotation="255" wrapText="1"/>
    </xf>
    <xf numFmtId="0" fontId="49" fillId="0" borderId="20" xfId="29" applyFont="1" applyBorder="1" applyAlignment="1">
      <alignment horizontal="center" vertical="center" textRotation="255" wrapText="1"/>
    </xf>
    <xf numFmtId="0" fontId="49" fillId="0" borderId="3" xfId="29" applyFont="1" applyBorder="1" applyAlignment="1">
      <alignment horizontal="center" vertical="center" textRotation="255" wrapText="1"/>
    </xf>
    <xf numFmtId="0" fontId="11" fillId="0" borderId="87" xfId="29" applyBorder="1" applyAlignment="1">
      <alignment horizontal="center" vertical="center" wrapText="1"/>
    </xf>
    <xf numFmtId="0" fontId="11" fillId="0" borderId="86" xfId="29" applyBorder="1" applyAlignment="1">
      <alignment horizontal="center" vertical="center" wrapText="1"/>
    </xf>
    <xf numFmtId="0" fontId="11" fillId="0" borderId="88" xfId="29" applyBorder="1" applyAlignment="1">
      <alignment horizontal="center" vertical="center" wrapText="1"/>
    </xf>
    <xf numFmtId="0" fontId="11" fillId="0" borderId="27" xfId="29" applyBorder="1" applyAlignment="1">
      <alignment horizontal="center" vertical="center" wrapText="1"/>
    </xf>
    <xf numFmtId="0" fontId="11" fillId="0" borderId="0" xfId="29" applyAlignment="1">
      <alignment horizontal="center" vertical="center" wrapText="1"/>
    </xf>
    <xf numFmtId="0" fontId="11" fillId="0" borderId="23" xfId="29" applyBorder="1" applyAlignment="1">
      <alignment horizontal="center" vertical="center" wrapText="1"/>
    </xf>
    <xf numFmtId="0" fontId="28" fillId="0" borderId="87" xfId="29" applyFont="1" applyBorder="1" applyAlignment="1">
      <alignment horizontal="center" vertical="center" wrapText="1"/>
    </xf>
    <xf numFmtId="0" fontId="28" fillId="0" borderId="86" xfId="29" applyFont="1" applyBorder="1" applyAlignment="1">
      <alignment horizontal="center" vertical="center" wrapText="1"/>
    </xf>
    <xf numFmtId="0" fontId="28" fillId="0" borderId="88" xfId="29" applyFont="1" applyBorder="1" applyAlignment="1">
      <alignment horizontal="center" vertical="center" wrapText="1"/>
    </xf>
    <xf numFmtId="0" fontId="28" fillId="0" borderId="27" xfId="29" applyFont="1" applyBorder="1" applyAlignment="1">
      <alignment horizontal="center" vertical="center" wrapText="1"/>
    </xf>
    <xf numFmtId="0" fontId="28" fillId="0" borderId="0" xfId="29" applyFont="1" applyAlignment="1">
      <alignment horizontal="center" vertical="center" wrapText="1"/>
    </xf>
    <xf numFmtId="0" fontId="28" fillId="0" borderId="23" xfId="29" applyFont="1" applyBorder="1" applyAlignment="1">
      <alignment horizontal="center" vertical="center" wrapText="1"/>
    </xf>
    <xf numFmtId="0" fontId="11" fillId="0" borderId="95" xfId="29" applyBorder="1" applyAlignment="1">
      <alignment horizontal="center" vertical="center" wrapText="1"/>
    </xf>
    <xf numFmtId="0" fontId="11" fillId="0" borderId="74" xfId="29" applyBorder="1" applyAlignment="1">
      <alignment horizontal="center" vertical="center" wrapText="1"/>
    </xf>
    <xf numFmtId="0" fontId="11" fillId="0" borderId="96" xfId="29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51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71" fillId="0" borderId="87" xfId="0" applyFont="1" applyBorder="1" applyAlignment="1">
      <alignment horizontal="center" vertical="center" wrapText="1"/>
    </xf>
    <xf numFmtId="0" fontId="71" fillId="0" borderId="86" xfId="0" applyFont="1" applyBorder="1" applyAlignment="1">
      <alignment horizontal="center" vertical="center" wrapText="1"/>
    </xf>
    <xf numFmtId="0" fontId="71" fillId="0" borderId="88" xfId="0" applyFont="1" applyBorder="1" applyAlignment="1">
      <alignment horizontal="center" vertical="center" wrapText="1"/>
    </xf>
    <xf numFmtId="0" fontId="71" fillId="0" borderId="40" xfId="0" applyFont="1" applyBorder="1" applyAlignment="1">
      <alignment horizontal="center" vertical="center" wrapText="1"/>
    </xf>
    <xf numFmtId="0" fontId="71" fillId="0" borderId="71" xfId="0" applyFont="1" applyBorder="1" applyAlignment="1">
      <alignment horizontal="center" vertical="center" wrapText="1"/>
    </xf>
    <xf numFmtId="0" fontId="71" fillId="0" borderId="70" xfId="0" applyFont="1" applyBorder="1" applyAlignment="1">
      <alignment horizontal="center" vertical="center" wrapText="1"/>
    </xf>
    <xf numFmtId="0" fontId="0" fillId="0" borderId="48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164" fontId="27" fillId="2" borderId="12" xfId="42" applyNumberFormat="1" applyFont="1" applyFill="1" applyBorder="1" applyAlignment="1">
      <alignment horizontal="center"/>
    </xf>
    <xf numFmtId="0" fontId="5" fillId="109" borderId="12" xfId="42" applyFill="1" applyBorder="1" applyAlignment="1">
      <alignment horizontal="center"/>
    </xf>
    <xf numFmtId="0" fontId="27" fillId="2" borderId="12" xfId="42" applyFont="1" applyFill="1" applyBorder="1" applyAlignment="1">
      <alignment horizontal="center" vertical="center"/>
    </xf>
    <xf numFmtId="0" fontId="27" fillId="2" borderId="3" xfId="42" applyFont="1" applyFill="1" applyBorder="1" applyAlignment="1">
      <alignment horizontal="center" vertical="center"/>
    </xf>
    <xf numFmtId="0" fontId="33" fillId="122" borderId="12" xfId="29" applyFont="1" applyFill="1" applyBorder="1" applyAlignment="1">
      <alignment horizontal="center" vertical="center"/>
    </xf>
    <xf numFmtId="0" fontId="33" fillId="3" borderId="12" xfId="0" applyFont="1" applyFill="1" applyBorder="1" applyAlignment="1">
      <alignment horizontal="center" vertical="center"/>
    </xf>
    <xf numFmtId="0" fontId="33" fillId="123" borderId="12" xfId="29" applyFont="1" applyFill="1" applyBorder="1" applyAlignment="1">
      <alignment horizontal="center" vertical="center" wrapText="1"/>
    </xf>
    <xf numFmtId="0" fontId="33" fillId="122" borderId="12" xfId="29" applyFont="1" applyFill="1" applyBorder="1" applyAlignment="1">
      <alignment horizontal="center" vertical="center" wrapText="1"/>
    </xf>
  </cellXfs>
  <cellStyles count="47">
    <cellStyle name="Normal" xfId="0" builtinId="0"/>
    <cellStyle name="Normal 10" xfId="7" xr:uid="{35508CD2-FEC8-4F72-ADE3-05C4495B6EB2}"/>
    <cellStyle name="Normal 10 2" xfId="28" xr:uid="{10691711-1538-4BF4-97BC-51427201BF07}"/>
    <cellStyle name="Normal 10 2 2" xfId="38" xr:uid="{78D4027B-8CA6-4074-99C2-E4F41F1931A7}"/>
    <cellStyle name="Normal 10 2 3" xfId="46" xr:uid="{F4C7D9DA-452E-4456-851E-83B44B422C81}"/>
    <cellStyle name="Normal 10 3" xfId="34" xr:uid="{BC44AD5C-A925-4CEB-A7EA-75540C873A75}"/>
    <cellStyle name="Normal 11" xfId="26" xr:uid="{AA73E973-8D35-4BEF-A157-9C61F31EB261}"/>
    <cellStyle name="Normal 12" xfId="27" xr:uid="{5A15E831-BE8B-4CC2-8575-B0ED79760143}"/>
    <cellStyle name="Normal 12 2" xfId="37" xr:uid="{0B52431B-69F7-4EA0-BA57-45C42184EB83}"/>
    <cellStyle name="Normal 13" xfId="29" xr:uid="{ACBB20B2-221F-46D6-BBEE-56E9224E1054}"/>
    <cellStyle name="Normal 13 2" xfId="39" xr:uid="{3A08199F-36C9-41DC-8334-173FF549CA6B}"/>
    <cellStyle name="Normal 14" xfId="30" xr:uid="{2DC0CF39-806F-436F-A71E-0B99DADBB621}"/>
    <cellStyle name="Normal 14 2" xfId="40" xr:uid="{ACFC6B3C-C036-43B8-A459-065C27DDD3A9}"/>
    <cellStyle name="Normal 15" xfId="31" xr:uid="{B2D829C0-387F-430C-B620-3D439B6760C8}"/>
    <cellStyle name="Normal 16" xfId="41" xr:uid="{6B765367-4BD5-4EA6-9DB3-34EB27A44865}"/>
    <cellStyle name="Normal 16 2" xfId="44" xr:uid="{6D3016AA-A125-42ED-96B9-46041D92425B}"/>
    <cellStyle name="Normal 17" xfId="42" xr:uid="{EB8ED943-3274-4964-A00B-26B5FACF6DC0}"/>
    <cellStyle name="Normal 18" xfId="43" xr:uid="{F98C288B-DBFD-4DCB-B596-6439530D1A77}"/>
    <cellStyle name="Normal 19" xfId="45" xr:uid="{BC78E77C-949E-442C-AAD2-978A54C67A1F}"/>
    <cellStyle name="Normal 2" xfId="8" xr:uid="{6ED97EE9-8047-4A7F-8806-91E845214D9E}"/>
    <cellStyle name="Normal 2 2" xfId="10" xr:uid="{6A2E4F54-286D-42FB-8051-F02CF65111C3}"/>
    <cellStyle name="Normal 2 2 10" xfId="1" xr:uid="{00000000-0005-0000-0000-000031000000}"/>
    <cellStyle name="Normal 2 3" xfId="11" xr:uid="{7D2704BA-B7E8-446E-A13C-7445F420C7F6}"/>
    <cellStyle name="Normal 2 3 2" xfId="13" xr:uid="{200C50E1-B00A-4564-A8B4-B1EE7E096FBD}"/>
    <cellStyle name="Normal 3" xfId="12" xr:uid="{5563AC9A-970C-4EE4-BCDC-A5CD5D2F3F2F}"/>
    <cellStyle name="Normal 3 2" xfId="14" xr:uid="{E67CE126-CBA9-42C3-81B3-7A0C61360A95}"/>
    <cellStyle name="Normal 4" xfId="4" xr:uid="{70E1B3AD-2714-4B8E-A388-432AD4CF4906}"/>
    <cellStyle name="Normal 5" xfId="5" xr:uid="{E1A07607-DC1D-4D23-B15F-1FD679936A54}"/>
    <cellStyle name="Normal 5 2" xfId="16" xr:uid="{8C20079C-23F2-429E-8514-D33BD019E79D}"/>
    <cellStyle name="Normal 5 3" xfId="6" xr:uid="{C6690CA1-0F77-4A01-8C02-748413D400E3}"/>
    <cellStyle name="Normal 5 4" xfId="18" xr:uid="{9C3DB5A3-EB7E-4C74-9C26-CB8C648ADBC9}"/>
    <cellStyle name="Normal 5 5" xfId="19" xr:uid="{6D8A1205-9BFF-4191-8B32-7960578E3FC8}"/>
    <cellStyle name="Normal 5 6" xfId="21" xr:uid="{CE30E978-9652-4F74-A112-5309E58872F8}"/>
    <cellStyle name="Normal 5 7" xfId="23" xr:uid="{0D202BA7-60FC-43F5-9AC2-FD5E323A72E3}"/>
    <cellStyle name="Normal 58" xfId="2" xr:uid="{87FB636F-BFAD-439E-9F46-C8C132AC74CD}"/>
    <cellStyle name="Normal 58 2" xfId="3" xr:uid="{946F6EA8-6FCC-4BE7-BF67-8EE247678CC3}"/>
    <cellStyle name="Normal 58 2 2" xfId="15" xr:uid="{27C6D5F2-E60C-4C3E-91F1-0236C8207DBB}"/>
    <cellStyle name="Normal 58 2 2 2" xfId="36" xr:uid="{E24A3648-BE46-4E19-813E-91D90D1A6427}"/>
    <cellStyle name="Normal 58 2 3" xfId="33" xr:uid="{B11B2953-1AA1-4953-8317-D77457203A37}"/>
    <cellStyle name="Normal 58 3" xfId="9" xr:uid="{90E30170-56D0-4F09-8406-096EE77D4E15}"/>
    <cellStyle name="Normal 58 3 2" xfId="35" xr:uid="{FE417112-248C-4FE1-9C54-F9FDF12273CF}"/>
    <cellStyle name="Normal 58 4" xfId="32" xr:uid="{D44D90E5-027F-442D-A4C9-3F056520A462}"/>
    <cellStyle name="Normal 6" xfId="17" xr:uid="{73505A5F-EBDD-4A12-BCDD-86867F4F17CF}"/>
    <cellStyle name="Normal 7" xfId="20" xr:uid="{B600D7E2-7E20-472B-B98D-D22E199962F2}"/>
    <cellStyle name="Normal 8" xfId="22" xr:uid="{1BED66D6-DF76-47FE-8615-EB7BA5669817}"/>
    <cellStyle name="Normal 8 2" xfId="24" xr:uid="{1E75FD9B-7598-421F-9C47-CE72277BCB7F}"/>
    <cellStyle name="Normal 9" xfId="25" xr:uid="{9D914267-F632-4468-9E6F-8DF48AB4FB7E}"/>
  </cellStyles>
  <dxfs count="43">
    <dxf>
      <fill>
        <patternFill>
          <bgColor theme="0" tint="-0.3499862666707357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34998626667073579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0.24994659260841701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 tint="-9.9948118533890809E-2"/>
        </patternFill>
      </fill>
    </dxf>
    <dxf>
      <fill>
        <patternFill>
          <bgColor rgb="FFCFCDCD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CFCDCD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CFCDCD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CFCDCD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colors>
    <mruColors>
      <color rgb="FFFF99CC"/>
      <color rgb="FFCC33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17/06/relationships/rdRichValue" Target="richData/rdrichvalu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0/relationships/richValueRel" Target="richData/richValueRel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Types" Target="richData/rdRichValueTyp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Structure" Target="richData/rdrichvaluestructure.xml"/><Relationship Id="rId27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efaturaGYE Operaciones" id="{14B4AF70-E60B-41AC-A494-938A3ABFC4B1}" userId="2e58b339bb9f02d4" providerId="Windows Live"/>
  <person displayName="Gabriel Zavala" id="{9C796D57-DA4E-4A4C-BBDE-503D5B2FB952}" userId="S::operacionesgye@activesecurity-ec.com::523f0692-6d02-42a2-b26e-14e040891787" providerId="AD"/>
</personList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4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4-06-25T14:49:06.44" personId="{9C796D57-DA4E-4A4C-BBDE-503D5B2FB952}" id="{97D17856-B694-4533-B397-9DD49D403B1E}">
    <text>INCREMENTA 1PUESTO DE 8H L-V  DESDE 21 JUNIO</text>
  </threadedComment>
  <threadedComment ref="D12" dT="2024-09-12T14:23:01.29" personId="{14B4AF70-E60B-41AC-A494-938A3ABFC4B1}" id="{DD57E1BC-311D-4A5F-BDA4-65AB0F263BCD}">
    <text xml:space="preserve">L-V 13H / S-D 12H </text>
  </threadedComment>
  <threadedComment ref="B15" dT="2024-05-14T18:53:48.54" personId="{9C796D57-DA4E-4A4C-BBDE-503D5B2FB952}" id="{409662E2-46F3-4D7A-A069-FABEF2613E97}">
    <text>Se elimina el puesto de 24 horas que estaba en el HLV desde el 13 mayo 2024 hasta las 19h00</text>
  </threadedComment>
  <threadedComment ref="F15" dT="2024-05-14T19:02:08.92" personId="{9C796D57-DA4E-4A4C-BBDE-503D5B2FB952}" id="{CA71AA3D-8A66-4444-B2F7-E13F5CC388CC}">
    <text>PASA UN PUESTO DEL  HRG DE 12H L-D A 1 PUESTO DE 12H L-V AL HAP DESDE EL 01 MAYO</text>
  </threadedComment>
  <threadedComment ref="H17" dT="2024-05-14T19:02:08.92" personId="{9C796D57-DA4E-4A4C-BBDE-503D5B2FB952}" id="{DDA983B1-17D6-4FF3-90E4-9CEFD064ED37}">
    <text>PASA UN PUESTO DEL  HRG DE 12H L-D A 1 PUESTO DE 12H L-S</text>
  </threadedComment>
  <threadedComment ref="F18" dT="2024-05-28T21:33:16.90" personId="{9C796D57-DA4E-4A4C-BBDE-503D5B2FB952}" id="{C51B1896-EF97-440E-99AC-63066D42F7AB}">
    <text xml:space="preserve">1 p 12H l - D 
1p 12H  l   S 
Estos pasan a 12h l-v desde el 21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zoomScale="91" zoomScaleNormal="91" workbookViewId="0">
      <selection activeCell="H2" sqref="H2"/>
    </sheetView>
  </sheetViews>
  <sheetFormatPr baseColWidth="10" defaultColWidth="11" defaultRowHeight="15"/>
  <cols>
    <col min="1" max="1" width="3.28515625" customWidth="1"/>
    <col min="2" max="2" width="52.140625" customWidth="1"/>
    <col min="3" max="3" width="14.5703125" customWidth="1"/>
    <col min="4" max="4" width="12" customWidth="1"/>
    <col min="5" max="5" width="12.28515625" customWidth="1"/>
    <col min="6" max="6" width="14.140625" customWidth="1"/>
    <col min="7" max="7" width="19.28515625" customWidth="1"/>
    <col min="8" max="8" width="13" customWidth="1"/>
    <col min="9" max="9" width="14" customWidth="1"/>
    <col min="10" max="11" width="13.42578125" customWidth="1"/>
    <col min="12" max="12" width="14.85546875" customWidth="1"/>
    <col min="13" max="13" width="19.140625" customWidth="1"/>
  </cols>
  <sheetData>
    <row r="1" spans="1:13" ht="15.75" thickBot="1"/>
    <row r="2" spans="1:13">
      <c r="C2" s="45" t="s">
        <v>0</v>
      </c>
      <c r="D2" s="677" t="s">
        <v>0</v>
      </c>
      <c r="E2" s="678"/>
      <c r="F2" s="22" t="s">
        <v>1</v>
      </c>
      <c r="G2" s="22" t="s">
        <v>2</v>
      </c>
      <c r="H2" s="22" t="s">
        <v>3</v>
      </c>
      <c r="I2" s="45" t="s">
        <v>4</v>
      </c>
      <c r="J2" s="17" t="s">
        <v>4</v>
      </c>
      <c r="K2" s="57" t="s">
        <v>1</v>
      </c>
      <c r="L2" s="57" t="s">
        <v>0</v>
      </c>
      <c r="M2" s="58" t="s">
        <v>1</v>
      </c>
    </row>
    <row r="3" spans="1:13">
      <c r="B3" s="46" t="s">
        <v>5</v>
      </c>
      <c r="C3" s="15" t="s">
        <v>6</v>
      </c>
      <c r="D3" s="15" t="s">
        <v>7</v>
      </c>
      <c r="E3" s="15" t="s">
        <v>8</v>
      </c>
      <c r="F3" s="15" t="s">
        <v>9</v>
      </c>
      <c r="G3" s="47" t="s">
        <v>10</v>
      </c>
      <c r="H3" s="15" t="s">
        <v>11</v>
      </c>
      <c r="I3" s="48" t="s">
        <v>12</v>
      </c>
      <c r="J3" s="18" t="s">
        <v>13</v>
      </c>
      <c r="K3" s="15" t="s">
        <v>388</v>
      </c>
      <c r="L3" s="15" t="s">
        <v>14</v>
      </c>
      <c r="M3" s="19" t="s">
        <v>206</v>
      </c>
    </row>
    <row r="4" spans="1:13">
      <c r="A4">
        <v>1</v>
      </c>
      <c r="B4" s="131" t="s">
        <v>15</v>
      </c>
      <c r="C4" s="26">
        <v>1</v>
      </c>
      <c r="D4" s="26"/>
      <c r="E4" s="26"/>
      <c r="F4" s="26"/>
      <c r="G4" s="26"/>
      <c r="H4" s="26"/>
      <c r="I4" s="26"/>
      <c r="J4" s="49"/>
      <c r="K4" s="49"/>
      <c r="L4" s="26"/>
      <c r="M4" s="50"/>
    </row>
    <row r="5" spans="1:13">
      <c r="A5">
        <v>2</v>
      </c>
      <c r="B5" s="27" t="s">
        <v>16</v>
      </c>
      <c r="C5" s="26"/>
      <c r="D5" s="26"/>
      <c r="E5" s="26">
        <v>1</v>
      </c>
      <c r="F5" s="26"/>
      <c r="G5" s="26"/>
      <c r="H5" s="26"/>
      <c r="I5" s="26"/>
      <c r="J5" s="49"/>
      <c r="K5" s="49"/>
      <c r="L5" s="26"/>
      <c r="M5" s="50"/>
    </row>
    <row r="6" spans="1:13">
      <c r="A6">
        <v>3</v>
      </c>
      <c r="B6" s="27" t="s">
        <v>17</v>
      </c>
      <c r="C6" s="26">
        <v>1</v>
      </c>
      <c r="D6" s="26"/>
      <c r="E6" s="26"/>
      <c r="F6" s="26"/>
      <c r="G6" s="26"/>
      <c r="H6" s="26"/>
      <c r="I6" s="26"/>
      <c r="J6" s="49"/>
      <c r="K6" s="49"/>
      <c r="L6" s="26"/>
      <c r="M6" s="50"/>
    </row>
    <row r="7" spans="1:13" s="10" customFormat="1">
      <c r="A7">
        <v>4</v>
      </c>
      <c r="B7" s="27" t="s">
        <v>18</v>
      </c>
      <c r="C7" s="26">
        <v>3</v>
      </c>
      <c r="D7" s="26"/>
      <c r="E7" s="26"/>
      <c r="F7" s="26"/>
      <c r="G7" s="26"/>
      <c r="H7" s="26"/>
      <c r="I7" s="26"/>
      <c r="J7" s="49"/>
      <c r="K7" s="49"/>
      <c r="L7" s="26"/>
      <c r="M7" s="50"/>
    </row>
    <row r="8" spans="1:13">
      <c r="A8">
        <v>5</v>
      </c>
      <c r="B8" s="27" t="s">
        <v>19</v>
      </c>
      <c r="C8" s="26">
        <v>3</v>
      </c>
      <c r="D8" s="26"/>
      <c r="E8" s="26"/>
      <c r="F8" s="26"/>
      <c r="G8" s="26"/>
      <c r="H8" s="26"/>
      <c r="I8" s="26"/>
      <c r="J8" s="49"/>
      <c r="K8" s="49"/>
      <c r="L8" s="26"/>
      <c r="M8" s="50"/>
    </row>
    <row r="9" spans="1:13">
      <c r="A9">
        <v>6</v>
      </c>
      <c r="B9" s="27" t="s">
        <v>20</v>
      </c>
      <c r="C9" s="26"/>
      <c r="D9" s="26">
        <v>1</v>
      </c>
      <c r="E9" s="26"/>
      <c r="F9" s="26"/>
      <c r="G9" s="26"/>
      <c r="H9" s="26"/>
      <c r="I9" s="26"/>
      <c r="J9" s="49"/>
      <c r="K9" s="49"/>
      <c r="L9" s="26"/>
      <c r="M9" s="50"/>
    </row>
    <row r="10" spans="1:13">
      <c r="A10">
        <v>7</v>
      </c>
      <c r="B10" s="27" t="s">
        <v>21</v>
      </c>
      <c r="C10" s="679">
        <v>1</v>
      </c>
      <c r="D10" s="40"/>
      <c r="E10" s="26"/>
      <c r="F10" s="26"/>
      <c r="G10" s="26"/>
      <c r="H10" s="26"/>
      <c r="I10" s="26"/>
      <c r="J10" s="49"/>
      <c r="K10" s="49"/>
      <c r="L10" s="26"/>
      <c r="M10" s="50"/>
    </row>
    <row r="11" spans="1:13">
      <c r="A11">
        <v>8</v>
      </c>
      <c r="B11" s="27" t="s">
        <v>22</v>
      </c>
      <c r="C11" s="680"/>
      <c r="D11" s="51"/>
      <c r="E11" s="26"/>
      <c r="F11" s="26"/>
      <c r="G11" s="26"/>
      <c r="H11" s="26"/>
      <c r="I11" s="26"/>
      <c r="J11" s="49"/>
      <c r="K11" s="49"/>
      <c r="L11" s="26"/>
      <c r="M11" s="50"/>
    </row>
    <row r="12" spans="1:13">
      <c r="A12">
        <v>9</v>
      </c>
      <c r="B12" s="27" t="s">
        <v>23</v>
      </c>
      <c r="C12" s="26"/>
      <c r="D12" s="26">
        <v>1</v>
      </c>
      <c r="E12" s="26"/>
      <c r="F12" s="26"/>
      <c r="G12" s="26"/>
      <c r="H12" s="26"/>
      <c r="I12" s="26"/>
      <c r="J12" s="49"/>
      <c r="K12" s="49"/>
      <c r="L12" s="26"/>
      <c r="M12" s="50"/>
    </row>
    <row r="13" spans="1:13">
      <c r="A13">
        <v>10</v>
      </c>
      <c r="B13" s="120" t="s">
        <v>242</v>
      </c>
      <c r="C13" s="26"/>
      <c r="D13" s="26">
        <v>1</v>
      </c>
      <c r="E13" s="26"/>
      <c r="F13" s="26"/>
      <c r="G13" s="26"/>
      <c r="H13" s="26"/>
      <c r="I13" s="26"/>
      <c r="J13" s="49"/>
      <c r="K13" s="49"/>
      <c r="L13" s="26"/>
      <c r="M13" s="50"/>
    </row>
    <row r="14" spans="1:13">
      <c r="A14">
        <v>11</v>
      </c>
      <c r="B14" s="185" t="s">
        <v>24</v>
      </c>
      <c r="C14" s="26">
        <v>1</v>
      </c>
      <c r="D14" s="26"/>
      <c r="E14" s="26"/>
      <c r="F14" s="26"/>
      <c r="G14" s="26"/>
      <c r="H14" s="26"/>
      <c r="I14" s="26"/>
      <c r="J14" s="49"/>
      <c r="K14" s="53">
        <v>1</v>
      </c>
      <c r="L14" s="26"/>
      <c r="M14" s="50"/>
    </row>
    <row r="15" spans="1:13">
      <c r="A15">
        <v>12</v>
      </c>
      <c r="B15" s="27" t="s">
        <v>25</v>
      </c>
      <c r="C15" s="26">
        <v>5</v>
      </c>
      <c r="D15" s="26">
        <v>1</v>
      </c>
      <c r="E15" s="26"/>
      <c r="F15" s="26">
        <v>1</v>
      </c>
      <c r="G15" s="26"/>
      <c r="H15" s="26"/>
      <c r="I15" s="26"/>
      <c r="J15" s="49"/>
      <c r="K15" s="49"/>
      <c r="L15" s="26"/>
      <c r="M15" s="50"/>
    </row>
    <row r="16" spans="1:13">
      <c r="A16">
        <v>13</v>
      </c>
      <c r="B16" s="27" t="s">
        <v>26</v>
      </c>
      <c r="C16" s="26">
        <v>3</v>
      </c>
      <c r="D16" s="26"/>
      <c r="E16" s="26"/>
      <c r="F16" s="26"/>
      <c r="G16" s="26"/>
      <c r="H16" s="26"/>
      <c r="I16" s="26">
        <v>1</v>
      </c>
      <c r="J16" s="52">
        <v>0</v>
      </c>
      <c r="K16" s="52"/>
      <c r="L16" s="26"/>
      <c r="M16" s="50"/>
    </row>
    <row r="17" spans="1:14">
      <c r="A17">
        <v>14</v>
      </c>
      <c r="B17" s="27" t="s">
        <v>27</v>
      </c>
      <c r="C17" s="26">
        <v>6</v>
      </c>
      <c r="D17" s="26">
        <v>1</v>
      </c>
      <c r="E17" s="26"/>
      <c r="F17" s="26"/>
      <c r="G17" s="26"/>
      <c r="H17" s="26">
        <v>1</v>
      </c>
      <c r="I17" s="26"/>
      <c r="J17" s="49"/>
      <c r="K17" s="49"/>
      <c r="L17" s="26"/>
      <c r="M17" s="50"/>
    </row>
    <row r="18" spans="1:14" s="10" customFormat="1">
      <c r="A18">
        <v>15</v>
      </c>
      <c r="B18" s="27" t="s">
        <v>28</v>
      </c>
      <c r="C18" s="26">
        <v>7</v>
      </c>
      <c r="D18" s="26"/>
      <c r="E18" s="26"/>
      <c r="F18" s="26">
        <v>2</v>
      </c>
      <c r="G18" s="26"/>
      <c r="H18" s="26"/>
      <c r="I18" s="26"/>
      <c r="J18" s="53"/>
      <c r="K18" s="53"/>
      <c r="L18" s="26">
        <v>2</v>
      </c>
      <c r="M18" s="50"/>
    </row>
    <row r="19" spans="1:14">
      <c r="A19">
        <v>16</v>
      </c>
      <c r="B19" s="27" t="s">
        <v>29</v>
      </c>
      <c r="C19" s="26">
        <v>1</v>
      </c>
      <c r="D19" s="26"/>
      <c r="E19" s="26"/>
      <c r="F19" s="26"/>
      <c r="G19" s="26"/>
      <c r="H19" s="26"/>
      <c r="I19" s="26"/>
      <c r="J19" s="53">
        <v>1</v>
      </c>
      <c r="K19" s="53"/>
      <c r="L19" s="26"/>
      <c r="M19" s="50"/>
    </row>
    <row r="20" spans="1:14" ht="16.5" customHeight="1">
      <c r="A20">
        <v>17</v>
      </c>
      <c r="B20" s="27" t="s">
        <v>30</v>
      </c>
      <c r="C20" s="26"/>
      <c r="D20" s="26">
        <v>1</v>
      </c>
      <c r="E20" s="26"/>
      <c r="F20" s="26"/>
      <c r="G20" s="26"/>
      <c r="H20" s="26"/>
      <c r="I20" s="26"/>
      <c r="J20" s="49"/>
      <c r="K20" s="49"/>
      <c r="L20" s="26"/>
      <c r="M20" s="50"/>
    </row>
    <row r="21" spans="1:14" s="10" customFormat="1">
      <c r="A21">
        <v>18</v>
      </c>
      <c r="B21" s="27" t="s">
        <v>31</v>
      </c>
      <c r="C21" s="26">
        <v>7</v>
      </c>
      <c r="D21" s="26">
        <v>3</v>
      </c>
      <c r="E21" s="26">
        <v>1</v>
      </c>
      <c r="F21" s="26"/>
      <c r="G21" s="26">
        <v>1</v>
      </c>
      <c r="H21" s="26"/>
      <c r="I21" s="26"/>
      <c r="J21" s="49"/>
      <c r="K21" s="49"/>
      <c r="L21" s="26">
        <v>1</v>
      </c>
      <c r="M21" s="50"/>
    </row>
    <row r="22" spans="1:14">
      <c r="A22">
        <v>19</v>
      </c>
      <c r="B22" s="27" t="s">
        <v>32</v>
      </c>
      <c r="C22" s="26">
        <v>5</v>
      </c>
      <c r="D22" s="26"/>
      <c r="E22" s="26"/>
      <c r="F22" s="26"/>
      <c r="G22" s="26"/>
      <c r="H22" s="26"/>
      <c r="I22" s="26"/>
      <c r="J22" s="49"/>
      <c r="K22" s="49"/>
      <c r="L22" s="26"/>
      <c r="M22" s="50"/>
    </row>
    <row r="23" spans="1:14" s="10" customFormat="1">
      <c r="A23">
        <v>20</v>
      </c>
      <c r="B23" s="27" t="s">
        <v>33</v>
      </c>
      <c r="C23" s="26">
        <v>1</v>
      </c>
      <c r="D23" s="26"/>
      <c r="E23" s="26"/>
      <c r="F23" s="26"/>
      <c r="G23" s="26"/>
      <c r="H23" s="26"/>
      <c r="I23" s="26"/>
      <c r="J23" s="49"/>
      <c r="K23" s="49"/>
      <c r="L23" s="26">
        <v>1</v>
      </c>
      <c r="M23" s="50"/>
    </row>
    <row r="24" spans="1:14">
      <c r="A24">
        <v>21</v>
      </c>
      <c r="B24" s="27" t="s">
        <v>34</v>
      </c>
      <c r="C24" s="26">
        <v>1</v>
      </c>
      <c r="D24" s="26"/>
      <c r="E24" s="26">
        <v>1</v>
      </c>
      <c r="F24" s="26"/>
      <c r="G24" s="26"/>
      <c r="H24" s="26"/>
      <c r="I24" s="26"/>
      <c r="J24" s="49"/>
      <c r="K24" s="49"/>
      <c r="L24" s="26"/>
      <c r="M24" s="50"/>
    </row>
    <row r="25" spans="1:14">
      <c r="A25">
        <v>22</v>
      </c>
      <c r="B25" s="28" t="s">
        <v>35</v>
      </c>
      <c r="C25" s="41">
        <v>1</v>
      </c>
      <c r="D25" s="41"/>
      <c r="E25" s="41"/>
      <c r="F25" s="41"/>
      <c r="G25" s="41"/>
      <c r="H25" s="41"/>
      <c r="I25" s="41"/>
      <c r="J25" s="54"/>
      <c r="K25" s="54"/>
      <c r="L25" s="26"/>
      <c r="M25" s="50"/>
    </row>
    <row r="26" spans="1:14">
      <c r="A26">
        <v>23</v>
      </c>
      <c r="B26" s="28" t="s">
        <v>36</v>
      </c>
      <c r="C26" s="115"/>
      <c r="D26" s="115"/>
      <c r="E26" s="115"/>
      <c r="F26" s="115"/>
      <c r="G26" s="115"/>
      <c r="H26" s="115"/>
      <c r="I26" s="115"/>
      <c r="J26" s="116"/>
      <c r="K26" s="116"/>
      <c r="L26" s="114"/>
      <c r="M26" s="117">
        <v>1</v>
      </c>
    </row>
    <row r="27" spans="1:14">
      <c r="A27">
        <v>24</v>
      </c>
      <c r="B27" s="130" t="s">
        <v>241</v>
      </c>
      <c r="C27" s="41">
        <v>1</v>
      </c>
      <c r="D27" s="41"/>
      <c r="E27" s="41"/>
      <c r="F27" s="41"/>
      <c r="G27" s="41"/>
      <c r="H27" s="41"/>
      <c r="I27" s="41"/>
      <c r="J27" s="54"/>
      <c r="K27" s="54"/>
      <c r="L27" s="26"/>
      <c r="M27" s="50"/>
      <c r="N27" s="10"/>
    </row>
    <row r="28" spans="1:14">
      <c r="A28">
        <v>25</v>
      </c>
      <c r="B28" s="28" t="s">
        <v>37</v>
      </c>
      <c r="C28" s="41">
        <v>1</v>
      </c>
      <c r="D28" s="41"/>
      <c r="E28" s="41"/>
      <c r="F28" s="41"/>
      <c r="G28" s="41"/>
      <c r="H28" s="41"/>
      <c r="I28" s="41"/>
      <c r="J28" s="54"/>
      <c r="K28" s="49"/>
      <c r="L28" s="26"/>
      <c r="M28" s="50"/>
    </row>
    <row r="29" spans="1:14">
      <c r="A29">
        <v>26</v>
      </c>
      <c r="B29" s="28" t="s">
        <v>204</v>
      </c>
      <c r="C29" s="41">
        <v>1</v>
      </c>
      <c r="D29" s="41"/>
      <c r="E29" s="41"/>
      <c r="F29" s="41"/>
      <c r="G29" s="41"/>
      <c r="H29" s="41"/>
      <c r="I29" s="41"/>
      <c r="J29" s="54"/>
      <c r="K29" s="180"/>
      <c r="L29" s="26"/>
      <c r="M29" s="26"/>
    </row>
    <row r="30" spans="1:14">
      <c r="A30">
        <v>27</v>
      </c>
      <c r="B30" s="28" t="s">
        <v>205</v>
      </c>
      <c r="C30" s="41">
        <v>1</v>
      </c>
      <c r="D30" s="41"/>
      <c r="E30" s="41"/>
      <c r="F30" s="41"/>
      <c r="G30" s="41"/>
      <c r="H30" s="41"/>
      <c r="I30" s="41"/>
      <c r="J30" s="54"/>
      <c r="K30" s="180"/>
      <c r="L30" s="26"/>
      <c r="M30" s="26"/>
    </row>
    <row r="31" spans="1:14">
      <c r="A31">
        <v>27</v>
      </c>
      <c r="B31" s="184" t="s">
        <v>386</v>
      </c>
      <c r="C31" s="41">
        <v>1</v>
      </c>
      <c r="D31" s="41"/>
      <c r="E31" s="41"/>
      <c r="F31" s="41"/>
      <c r="G31" s="41"/>
      <c r="H31" s="41"/>
      <c r="I31" s="41"/>
      <c r="J31" s="54"/>
      <c r="K31" s="180"/>
      <c r="L31" s="26"/>
      <c r="M31" s="26"/>
    </row>
    <row r="32" spans="1:14">
      <c r="B32" s="118" t="s">
        <v>225</v>
      </c>
      <c r="C32" s="2">
        <f>SUM(C4:C31)</f>
        <v>52</v>
      </c>
      <c r="D32" s="3">
        <f>SUM(D4:D25)</f>
        <v>9</v>
      </c>
      <c r="E32" s="3">
        <f>SUM(E5:E25)</f>
        <v>3</v>
      </c>
      <c r="F32" s="16">
        <v>3</v>
      </c>
      <c r="G32" s="37">
        <v>1</v>
      </c>
      <c r="H32" s="3">
        <f>SUM(H4:H25)</f>
        <v>1</v>
      </c>
      <c r="I32" s="3">
        <v>1</v>
      </c>
      <c r="J32" s="21">
        <f>SUM(J4:J25)</f>
        <v>1</v>
      </c>
      <c r="K32" s="137">
        <v>1</v>
      </c>
      <c r="L32" s="38">
        <f>SUM(L17:L25)</f>
        <v>4</v>
      </c>
      <c r="M32" s="7">
        <v>1</v>
      </c>
    </row>
    <row r="33" spans="2:13">
      <c r="B33" s="55">
        <v>77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</row>
    <row r="35" spans="2:13">
      <c r="B35" s="179" t="s">
        <v>387</v>
      </c>
      <c r="C35" s="27">
        <f>52*2.5</f>
        <v>130</v>
      </c>
    </row>
    <row r="36" spans="2:13">
      <c r="B36" s="119" t="s">
        <v>38</v>
      </c>
      <c r="C36" s="27">
        <f>17*1.25</f>
        <v>21.25</v>
      </c>
    </row>
    <row r="37" spans="2:13">
      <c r="B37" s="120" t="s">
        <v>39</v>
      </c>
      <c r="C37" s="27">
        <f>5*1.25</f>
        <v>6.25</v>
      </c>
    </row>
    <row r="38" spans="2:13">
      <c r="B38" s="120" t="s">
        <v>226</v>
      </c>
      <c r="C38" s="27">
        <v>1.25</v>
      </c>
    </row>
    <row r="39" spans="2:13">
      <c r="B39" s="39" t="s">
        <v>235</v>
      </c>
      <c r="C39" s="27">
        <f>1*1.25</f>
        <v>1.25</v>
      </c>
    </row>
    <row r="40" spans="2:13">
      <c r="B40" s="29" t="s">
        <v>389</v>
      </c>
      <c r="C40" s="27">
        <f>1*1.25</f>
        <v>1.25</v>
      </c>
    </row>
    <row r="41" spans="2:13">
      <c r="B41" s="121" t="s">
        <v>40</v>
      </c>
      <c r="C41" s="27">
        <v>1.25</v>
      </c>
    </row>
    <row r="42" spans="2:13">
      <c r="B42" s="30" t="s">
        <v>41</v>
      </c>
      <c r="C42" s="29">
        <f>SUM(C35:C41)</f>
        <v>162.5</v>
      </c>
    </row>
    <row r="45" spans="2:13">
      <c r="E45" s="56"/>
    </row>
  </sheetData>
  <mergeCells count="2">
    <mergeCell ref="D2:E2"/>
    <mergeCell ref="C10:C11"/>
  </mergeCells>
  <phoneticPr fontId="5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25B41-1E4F-4F8B-90CD-ADF1A24B8E46}">
  <dimension ref="B2:AH559"/>
  <sheetViews>
    <sheetView topLeftCell="A163" zoomScale="70" zoomScaleNormal="70" workbookViewId="0">
      <selection activeCell="D184" sqref="D184"/>
    </sheetView>
  </sheetViews>
  <sheetFormatPr baseColWidth="10" defaultRowHeight="15"/>
  <cols>
    <col min="1" max="1" width="3" customWidth="1"/>
    <col min="2" max="2" width="15.7109375" customWidth="1"/>
    <col min="3" max="3" width="20.85546875" bestFit="1" customWidth="1"/>
    <col min="4" max="4" width="50.42578125" bestFit="1" customWidth="1"/>
    <col min="5" max="5" width="24.42578125" customWidth="1"/>
    <col min="6" max="6" width="4.28515625" customWidth="1"/>
    <col min="7" max="7" width="23.85546875" customWidth="1"/>
    <col min="8" max="8" width="27.28515625" customWidth="1"/>
    <col min="9" max="9" width="12.85546875" customWidth="1"/>
    <col min="10" max="10" width="14" customWidth="1"/>
    <col min="11" max="11" width="15.28515625" customWidth="1"/>
    <col min="12" max="13" width="13.42578125" customWidth="1"/>
    <col min="14" max="14" width="7.85546875" customWidth="1"/>
    <col min="15" max="15" width="7.42578125" bestFit="1" customWidth="1"/>
    <col min="16" max="16" width="5.5703125" bestFit="1" customWidth="1"/>
    <col min="17" max="17" width="16.42578125" bestFit="1" customWidth="1"/>
    <col min="18" max="18" width="4.42578125" customWidth="1"/>
    <col min="19" max="19" width="7.42578125" bestFit="1" customWidth="1"/>
    <col min="20" max="20" width="5.5703125" bestFit="1" customWidth="1"/>
    <col min="22" max="22" width="16.7109375" customWidth="1"/>
    <col min="23" max="23" width="14.42578125" bestFit="1" customWidth="1"/>
  </cols>
  <sheetData>
    <row r="2" spans="2:25" ht="15.75" thickBot="1"/>
    <row r="3" spans="2:25" ht="15.75" thickBot="1">
      <c r="B3" s="695" t="s">
        <v>714</v>
      </c>
      <c r="C3" s="696"/>
      <c r="D3" s="696"/>
      <c r="E3" s="697"/>
      <c r="G3" s="74" t="s">
        <v>101</v>
      </c>
      <c r="H3" s="681" t="s">
        <v>715</v>
      </c>
      <c r="I3" s="682"/>
      <c r="J3" s="682"/>
      <c r="K3" s="682"/>
      <c r="L3" s="682"/>
      <c r="M3" s="683"/>
      <c r="O3" s="684" t="s">
        <v>207</v>
      </c>
      <c r="P3" s="684"/>
      <c r="Q3" s="684"/>
      <c r="R3" s="74"/>
      <c r="S3" s="684" t="s">
        <v>208</v>
      </c>
      <c r="T3" s="684"/>
      <c r="U3" s="684"/>
      <c r="V3" s="684"/>
      <c r="W3" s="684"/>
    </row>
    <row r="4" spans="2:25" ht="20.25" customHeight="1" thickBot="1">
      <c r="B4" s="246" t="s">
        <v>49</v>
      </c>
      <c r="C4" s="247" t="s">
        <v>50</v>
      </c>
      <c r="D4" s="248" t="s">
        <v>51</v>
      </c>
      <c r="E4" s="247" t="s">
        <v>52</v>
      </c>
      <c r="G4" s="91" t="s">
        <v>209</v>
      </c>
      <c r="H4" s="91" t="s">
        <v>210</v>
      </c>
      <c r="I4" s="91" t="s">
        <v>53</v>
      </c>
      <c r="J4" s="92" t="s">
        <v>211</v>
      </c>
      <c r="K4" s="92" t="s">
        <v>212</v>
      </c>
      <c r="L4" s="92" t="s">
        <v>213</v>
      </c>
      <c r="M4" s="92" t="s">
        <v>224</v>
      </c>
      <c r="O4" s="103" t="s">
        <v>214</v>
      </c>
      <c r="P4" s="93" t="s">
        <v>215</v>
      </c>
      <c r="Q4" s="94" t="s">
        <v>216</v>
      </c>
      <c r="S4" s="75" t="s">
        <v>214</v>
      </c>
      <c r="T4" s="75" t="s">
        <v>215</v>
      </c>
      <c r="U4" s="76" t="s">
        <v>216</v>
      </c>
      <c r="V4" s="76" t="s">
        <v>217</v>
      </c>
      <c r="W4" s="76" t="s">
        <v>218</v>
      </c>
    </row>
    <row r="5" spans="2:25" s="10" customFormat="1" ht="20.25" customHeight="1" thickBot="1">
      <c r="B5" s="249" t="s">
        <v>54</v>
      </c>
      <c r="C5" s="105">
        <v>1</v>
      </c>
      <c r="D5" s="250" t="s">
        <v>55</v>
      </c>
      <c r="E5" s="68" t="s">
        <v>233</v>
      </c>
      <c r="G5" s="716">
        <v>1</v>
      </c>
      <c r="H5" s="710" t="s">
        <v>344</v>
      </c>
      <c r="I5" s="718">
        <v>8017</v>
      </c>
      <c r="J5" s="712" t="s">
        <v>219</v>
      </c>
      <c r="K5" s="712" t="s">
        <v>220</v>
      </c>
      <c r="L5" s="685" t="s">
        <v>221</v>
      </c>
      <c r="M5" s="685">
        <f>+Q5+Q6+Q7+Q8*G5</f>
        <v>264</v>
      </c>
      <c r="N5"/>
      <c r="O5" s="252">
        <v>12</v>
      </c>
      <c r="P5" s="122">
        <v>5</v>
      </c>
      <c r="Q5" s="253">
        <f t="shared" ref="Q5:Q70" si="0">O5*P5</f>
        <v>60</v>
      </c>
      <c r="S5" s="4">
        <v>0</v>
      </c>
      <c r="T5" s="4">
        <v>0</v>
      </c>
      <c r="U5" s="20">
        <f t="shared" ref="U5:U16" si="1">S5*T5</f>
        <v>0</v>
      </c>
      <c r="V5" s="4"/>
      <c r="W5" s="4"/>
      <c r="X5"/>
      <c r="Y5"/>
    </row>
    <row r="6" spans="2:25" s="10" customFormat="1" ht="20.25" customHeight="1">
      <c r="B6" s="106" t="s">
        <v>56</v>
      </c>
      <c r="C6" s="689">
        <v>2</v>
      </c>
      <c r="D6" s="698" t="s">
        <v>57</v>
      </c>
      <c r="E6" s="66" t="s">
        <v>58</v>
      </c>
      <c r="G6" s="717"/>
      <c r="H6" s="702"/>
      <c r="I6" s="719"/>
      <c r="J6" s="693"/>
      <c r="K6" s="693"/>
      <c r="L6" s="686"/>
      <c r="M6" s="686"/>
      <c r="N6"/>
      <c r="O6" s="42">
        <v>12</v>
      </c>
      <c r="P6" s="95">
        <v>6</v>
      </c>
      <c r="Q6" s="96">
        <f t="shared" si="0"/>
        <v>72</v>
      </c>
      <c r="S6" s="4">
        <v>0</v>
      </c>
      <c r="T6" s="4">
        <v>0</v>
      </c>
      <c r="U6" s="20">
        <f t="shared" si="1"/>
        <v>0</v>
      </c>
      <c r="V6" s="4"/>
      <c r="W6" s="4"/>
      <c r="X6"/>
      <c r="Y6"/>
    </row>
    <row r="7" spans="2:25" s="10" customFormat="1" ht="20.25" customHeight="1">
      <c r="B7" s="107" t="s">
        <v>56</v>
      </c>
      <c r="C7" s="688"/>
      <c r="D7" s="699"/>
      <c r="E7" s="25" t="s">
        <v>58</v>
      </c>
      <c r="G7" s="717"/>
      <c r="H7" s="702"/>
      <c r="I7" s="719"/>
      <c r="J7" s="693"/>
      <c r="K7" s="693"/>
      <c r="L7" s="686"/>
      <c r="M7" s="686"/>
      <c r="N7"/>
      <c r="O7" s="42">
        <v>12</v>
      </c>
      <c r="P7" s="95">
        <v>5</v>
      </c>
      <c r="Q7" s="96">
        <f t="shared" si="0"/>
        <v>60</v>
      </c>
      <c r="S7" s="4">
        <v>0</v>
      </c>
      <c r="T7" s="4">
        <v>0</v>
      </c>
      <c r="U7" s="20">
        <f t="shared" si="1"/>
        <v>0</v>
      </c>
      <c r="V7" s="4"/>
      <c r="W7" s="4"/>
      <c r="X7"/>
      <c r="Y7"/>
    </row>
    <row r="8" spans="2:25" s="10" customFormat="1" ht="20.25" customHeight="1" thickBot="1">
      <c r="B8" s="107" t="s">
        <v>56</v>
      </c>
      <c r="C8" s="80">
        <v>2</v>
      </c>
      <c r="D8" s="256" t="s">
        <v>59</v>
      </c>
      <c r="E8" s="25" t="s">
        <v>58</v>
      </c>
      <c r="G8" s="717"/>
      <c r="H8" s="702"/>
      <c r="I8" s="719"/>
      <c r="J8" s="693"/>
      <c r="K8" s="693"/>
      <c r="L8" s="686"/>
      <c r="M8" s="687"/>
      <c r="N8"/>
      <c r="O8" s="42">
        <v>12</v>
      </c>
      <c r="P8" s="95">
        <v>6</v>
      </c>
      <c r="Q8" s="97">
        <f t="shared" si="0"/>
        <v>72</v>
      </c>
      <c r="S8" s="4">
        <v>0</v>
      </c>
      <c r="T8" s="4">
        <v>0</v>
      </c>
      <c r="U8" s="20">
        <f t="shared" si="1"/>
        <v>0</v>
      </c>
      <c r="V8" s="4"/>
      <c r="W8" s="4"/>
      <c r="X8"/>
      <c r="Y8"/>
    </row>
    <row r="9" spans="2:25" s="10" customFormat="1" ht="20.25" customHeight="1" thickBot="1">
      <c r="B9" s="108" t="s">
        <v>56</v>
      </c>
      <c r="C9" s="13">
        <v>7</v>
      </c>
      <c r="D9" s="257" t="s">
        <v>60</v>
      </c>
      <c r="E9" s="64" t="s">
        <v>58</v>
      </c>
      <c r="G9" s="226">
        <v>2</v>
      </c>
      <c r="H9" s="258" t="s">
        <v>391</v>
      </c>
      <c r="I9" s="190">
        <v>8020</v>
      </c>
      <c r="J9" s="259">
        <v>40</v>
      </c>
      <c r="K9" s="259" t="s">
        <v>220</v>
      </c>
      <c r="L9" s="192" t="s">
        <v>221</v>
      </c>
      <c r="M9" s="192">
        <f>+G9*J9</f>
        <v>80</v>
      </c>
      <c r="N9"/>
      <c r="O9" s="240">
        <v>5</v>
      </c>
      <c r="P9" s="240">
        <v>8</v>
      </c>
      <c r="Q9" s="253">
        <f t="shared" si="0"/>
        <v>40</v>
      </c>
      <c r="S9" s="4">
        <v>0</v>
      </c>
      <c r="T9" s="4">
        <v>0</v>
      </c>
      <c r="U9" s="20">
        <f t="shared" si="1"/>
        <v>0</v>
      </c>
      <c r="V9" s="4"/>
      <c r="W9" s="4"/>
      <c r="X9"/>
      <c r="Y9"/>
    </row>
    <row r="10" spans="2:25" s="10" customFormat="1" ht="20.25" customHeight="1" thickBot="1">
      <c r="B10" s="260" t="s">
        <v>56</v>
      </c>
      <c r="C10" s="192">
        <v>3</v>
      </c>
      <c r="D10" s="261" t="s">
        <v>60</v>
      </c>
      <c r="E10" s="262" t="s">
        <v>61</v>
      </c>
      <c r="G10" s="32">
        <v>1</v>
      </c>
      <c r="H10" s="186" t="s">
        <v>391</v>
      </c>
      <c r="I10" s="33">
        <v>8020</v>
      </c>
      <c r="J10" s="87">
        <v>48</v>
      </c>
      <c r="K10" s="87" t="s">
        <v>220</v>
      </c>
      <c r="L10" s="263" t="s">
        <v>221</v>
      </c>
      <c r="M10" s="13">
        <v>48</v>
      </c>
      <c r="N10"/>
      <c r="O10" s="44">
        <v>8</v>
      </c>
      <c r="P10" s="183">
        <v>6</v>
      </c>
      <c r="Q10" s="182">
        <f t="shared" si="0"/>
        <v>48</v>
      </c>
      <c r="S10" s="4">
        <v>0</v>
      </c>
      <c r="T10" s="4">
        <v>0</v>
      </c>
      <c r="U10" s="20">
        <f t="shared" si="1"/>
        <v>0</v>
      </c>
      <c r="V10" s="4"/>
      <c r="W10" s="4"/>
      <c r="X10"/>
      <c r="Y10"/>
    </row>
    <row r="11" spans="2:25" s="10" customFormat="1" ht="20.25" customHeight="1">
      <c r="B11" s="264" t="s">
        <v>62</v>
      </c>
      <c r="C11" s="24">
        <v>2</v>
      </c>
      <c r="D11" s="265" t="s">
        <v>63</v>
      </c>
      <c r="E11" s="25" t="s">
        <v>61</v>
      </c>
      <c r="F11"/>
      <c r="G11" s="700">
        <v>19</v>
      </c>
      <c r="H11" s="702" t="s">
        <v>58</v>
      </c>
      <c r="I11" s="704">
        <v>8020</v>
      </c>
      <c r="J11" s="693" t="s">
        <v>219</v>
      </c>
      <c r="K11" s="693" t="s">
        <v>220</v>
      </c>
      <c r="L11" s="707" t="s">
        <v>221</v>
      </c>
      <c r="M11" s="686">
        <v>264</v>
      </c>
      <c r="N11"/>
      <c r="O11" s="252">
        <v>12</v>
      </c>
      <c r="P11" s="122">
        <v>5</v>
      </c>
      <c r="Q11" s="253">
        <f t="shared" si="0"/>
        <v>60</v>
      </c>
      <c r="S11" s="4">
        <v>0</v>
      </c>
      <c r="T11" s="4">
        <v>0</v>
      </c>
      <c r="U11" s="20">
        <f t="shared" si="1"/>
        <v>0</v>
      </c>
      <c r="V11" s="4"/>
      <c r="W11" s="4"/>
      <c r="X11"/>
      <c r="Y11"/>
    </row>
    <row r="12" spans="2:25" ht="15.75" thickBot="1">
      <c r="B12" s="266" t="s">
        <v>62</v>
      </c>
      <c r="C12" s="13">
        <v>2</v>
      </c>
      <c r="D12" s="257" t="s">
        <v>64</v>
      </c>
      <c r="E12" s="64" t="s">
        <v>61</v>
      </c>
      <c r="G12" s="700"/>
      <c r="H12" s="702"/>
      <c r="I12" s="704"/>
      <c r="J12" s="693"/>
      <c r="K12" s="693"/>
      <c r="L12" s="707"/>
      <c r="M12" s="686"/>
      <c r="O12" s="42">
        <v>12</v>
      </c>
      <c r="P12" s="95">
        <v>6</v>
      </c>
      <c r="Q12" s="96">
        <f t="shared" si="0"/>
        <v>72</v>
      </c>
      <c r="R12" s="10"/>
      <c r="S12" s="4">
        <v>0</v>
      </c>
      <c r="T12" s="4">
        <v>0</v>
      </c>
      <c r="U12" s="20">
        <f t="shared" si="1"/>
        <v>0</v>
      </c>
      <c r="V12" s="4"/>
      <c r="W12" s="4"/>
    </row>
    <row r="13" spans="2:25">
      <c r="B13" s="267" t="s">
        <v>56</v>
      </c>
      <c r="C13" s="690">
        <v>6</v>
      </c>
      <c r="D13" s="756" t="s">
        <v>60</v>
      </c>
      <c r="E13" s="262" t="s">
        <v>65</v>
      </c>
      <c r="G13" s="700"/>
      <c r="H13" s="702"/>
      <c r="I13" s="704"/>
      <c r="J13" s="693"/>
      <c r="K13" s="693"/>
      <c r="L13" s="707"/>
      <c r="M13" s="686"/>
      <c r="O13" s="42">
        <v>12</v>
      </c>
      <c r="P13" s="95">
        <v>5</v>
      </c>
      <c r="Q13" s="96">
        <f t="shared" si="0"/>
        <v>60</v>
      </c>
      <c r="R13" s="10"/>
      <c r="S13" s="4">
        <v>0</v>
      </c>
      <c r="T13" s="4">
        <v>0</v>
      </c>
      <c r="U13" s="20">
        <f t="shared" si="1"/>
        <v>0</v>
      </c>
      <c r="V13" s="4"/>
      <c r="W13" s="4"/>
    </row>
    <row r="14" spans="2:25" ht="15.75" thickBot="1">
      <c r="B14" s="109" t="s">
        <v>56</v>
      </c>
      <c r="C14" s="691"/>
      <c r="D14" s="757"/>
      <c r="E14" s="65" t="s">
        <v>65</v>
      </c>
      <c r="G14" s="701"/>
      <c r="H14" s="703"/>
      <c r="I14" s="705"/>
      <c r="J14" s="706"/>
      <c r="K14" s="706"/>
      <c r="L14" s="708"/>
      <c r="M14" s="687"/>
      <c r="O14" s="42">
        <v>12</v>
      </c>
      <c r="P14" s="95">
        <v>6</v>
      </c>
      <c r="Q14" s="97">
        <f t="shared" si="0"/>
        <v>72</v>
      </c>
      <c r="R14" s="10"/>
      <c r="S14" s="4">
        <v>0</v>
      </c>
      <c r="T14" s="4">
        <v>0</v>
      </c>
      <c r="U14" s="20">
        <f t="shared" si="1"/>
        <v>0</v>
      </c>
      <c r="V14" s="4"/>
      <c r="W14" s="4"/>
    </row>
    <row r="15" spans="2:25" ht="15.75" thickBot="1">
      <c r="B15" s="110" t="s">
        <v>56</v>
      </c>
      <c r="C15" s="59">
        <v>2</v>
      </c>
      <c r="D15" s="257" t="s">
        <v>66</v>
      </c>
      <c r="E15" s="69" t="s">
        <v>65</v>
      </c>
      <c r="G15" s="709">
        <v>15</v>
      </c>
      <c r="H15" s="710" t="s">
        <v>61</v>
      </c>
      <c r="I15" s="711">
        <v>8019</v>
      </c>
      <c r="J15" s="712" t="s">
        <v>219</v>
      </c>
      <c r="K15" s="712" t="s">
        <v>220</v>
      </c>
      <c r="L15" s="713" t="s">
        <v>221</v>
      </c>
      <c r="M15" s="758">
        <v>264</v>
      </c>
      <c r="O15" s="252">
        <v>12</v>
      </c>
      <c r="P15" s="122">
        <v>5</v>
      </c>
      <c r="Q15" s="253">
        <f t="shared" si="0"/>
        <v>60</v>
      </c>
      <c r="R15" s="10"/>
      <c r="S15" s="268">
        <v>0</v>
      </c>
      <c r="T15" s="240">
        <v>0</v>
      </c>
      <c r="U15" s="269">
        <f t="shared" si="1"/>
        <v>0</v>
      </c>
      <c r="V15" s="240"/>
      <c r="W15" s="241"/>
    </row>
    <row r="16" spans="2:25">
      <c r="B16" s="28" t="s">
        <v>56</v>
      </c>
      <c r="C16" s="31">
        <v>1</v>
      </c>
      <c r="D16" s="255" t="s">
        <v>67</v>
      </c>
      <c r="E16" s="66" t="s">
        <v>68</v>
      </c>
      <c r="G16" s="700"/>
      <c r="H16" s="702"/>
      <c r="I16" s="704"/>
      <c r="J16" s="693"/>
      <c r="K16" s="693"/>
      <c r="L16" s="714"/>
      <c r="M16" s="759"/>
      <c r="O16" s="42">
        <v>12</v>
      </c>
      <c r="P16" s="95">
        <v>6</v>
      </c>
      <c r="Q16" s="96">
        <f t="shared" si="0"/>
        <v>72</v>
      </c>
      <c r="R16" s="10"/>
      <c r="S16" s="14">
        <v>12</v>
      </c>
      <c r="T16" s="4">
        <v>1</v>
      </c>
      <c r="U16" s="20">
        <f t="shared" si="1"/>
        <v>12</v>
      </c>
      <c r="V16" s="4" t="s">
        <v>223</v>
      </c>
      <c r="W16" s="8"/>
    </row>
    <row r="17" spans="2:23">
      <c r="B17" s="27" t="s">
        <v>56</v>
      </c>
      <c r="C17" s="24">
        <v>1</v>
      </c>
      <c r="D17" s="265" t="s">
        <v>69</v>
      </c>
      <c r="E17" s="25" t="s">
        <v>70</v>
      </c>
      <c r="G17" s="700"/>
      <c r="H17" s="702"/>
      <c r="I17" s="704"/>
      <c r="J17" s="693"/>
      <c r="K17" s="693"/>
      <c r="L17" s="714"/>
      <c r="M17" s="759"/>
      <c r="O17" s="42">
        <v>12</v>
      </c>
      <c r="P17" s="95">
        <v>5</v>
      </c>
      <c r="Q17" s="96">
        <f t="shared" si="0"/>
        <v>60</v>
      </c>
      <c r="R17" s="10"/>
      <c r="S17" s="14">
        <v>0</v>
      </c>
      <c r="T17" s="4">
        <v>0</v>
      </c>
      <c r="U17" s="20">
        <v>0</v>
      </c>
      <c r="V17" s="4"/>
      <c r="W17" s="8"/>
    </row>
    <row r="18" spans="2:23" ht="15.75" thickBot="1">
      <c r="B18" s="111" t="s">
        <v>56</v>
      </c>
      <c r="C18" s="42">
        <v>1</v>
      </c>
      <c r="D18" s="256" t="s">
        <v>232</v>
      </c>
      <c r="E18" s="67" t="s">
        <v>234</v>
      </c>
      <c r="G18" s="701"/>
      <c r="H18" s="703"/>
      <c r="I18" s="705"/>
      <c r="J18" s="706"/>
      <c r="K18" s="706"/>
      <c r="L18" s="715"/>
      <c r="M18" s="760"/>
      <c r="O18" s="13">
        <v>12</v>
      </c>
      <c r="P18" s="99">
        <v>6</v>
      </c>
      <c r="Q18" s="78">
        <f t="shared" si="0"/>
        <v>72</v>
      </c>
      <c r="R18" s="10"/>
      <c r="S18" s="100">
        <v>0</v>
      </c>
      <c r="T18" s="5">
        <v>0</v>
      </c>
      <c r="U18" s="101">
        <v>0</v>
      </c>
      <c r="V18" s="5"/>
      <c r="W18" s="6"/>
    </row>
    <row r="19" spans="2:23">
      <c r="B19" s="260" t="s">
        <v>56</v>
      </c>
      <c r="C19" s="192">
        <v>3</v>
      </c>
      <c r="D19" s="261" t="s">
        <v>60</v>
      </c>
      <c r="E19" s="262" t="s">
        <v>72</v>
      </c>
      <c r="G19" s="726">
        <v>17</v>
      </c>
      <c r="H19" s="729" t="s">
        <v>65</v>
      </c>
      <c r="I19" s="711">
        <v>8021</v>
      </c>
      <c r="J19" s="712" t="s">
        <v>219</v>
      </c>
      <c r="K19" s="712" t="s">
        <v>220</v>
      </c>
      <c r="L19" s="713" t="s">
        <v>221</v>
      </c>
      <c r="M19" s="758">
        <v>264</v>
      </c>
      <c r="O19" s="252">
        <v>12</v>
      </c>
      <c r="P19" s="122">
        <v>5</v>
      </c>
      <c r="Q19" s="253">
        <f t="shared" si="0"/>
        <v>60</v>
      </c>
      <c r="R19" s="10"/>
      <c r="S19" s="4">
        <v>0</v>
      </c>
      <c r="T19" s="4">
        <v>0</v>
      </c>
      <c r="U19" s="20">
        <f t="shared" ref="U19:U54" si="2">S19*T19</f>
        <v>0</v>
      </c>
      <c r="V19" s="4"/>
      <c r="W19" s="4"/>
    </row>
    <row r="20" spans="2:23" ht="15.75" thickBot="1">
      <c r="B20" s="107" t="s">
        <v>56</v>
      </c>
      <c r="C20" s="24">
        <v>1</v>
      </c>
      <c r="D20" s="265" t="s">
        <v>73</v>
      </c>
      <c r="E20" s="25" t="s">
        <v>72</v>
      </c>
      <c r="G20" s="727"/>
      <c r="H20" s="730"/>
      <c r="I20" s="704"/>
      <c r="J20" s="693"/>
      <c r="K20" s="693"/>
      <c r="L20" s="714"/>
      <c r="M20" s="759"/>
      <c r="O20" s="42">
        <v>12</v>
      </c>
      <c r="P20" s="95">
        <v>6</v>
      </c>
      <c r="Q20" s="96">
        <f t="shared" si="0"/>
        <v>72</v>
      </c>
      <c r="R20" s="10"/>
      <c r="S20" s="4">
        <v>0</v>
      </c>
      <c r="T20" s="4">
        <v>0</v>
      </c>
      <c r="U20" s="20">
        <f t="shared" si="2"/>
        <v>0</v>
      </c>
      <c r="V20" s="4"/>
      <c r="W20" s="4"/>
    </row>
    <row r="21" spans="2:23">
      <c r="B21" s="172" t="s">
        <v>56</v>
      </c>
      <c r="C21" s="259">
        <v>7</v>
      </c>
      <c r="D21" s="259" t="s">
        <v>60</v>
      </c>
      <c r="E21" s="270" t="s">
        <v>74</v>
      </c>
      <c r="G21" s="727"/>
      <c r="H21" s="730"/>
      <c r="I21" s="704"/>
      <c r="J21" s="693"/>
      <c r="K21" s="693"/>
      <c r="L21" s="714"/>
      <c r="M21" s="759"/>
      <c r="O21" s="42">
        <v>12</v>
      </c>
      <c r="P21" s="95">
        <v>5</v>
      </c>
      <c r="Q21" s="96">
        <f t="shared" si="0"/>
        <v>60</v>
      </c>
      <c r="R21" s="10"/>
      <c r="S21" s="4">
        <v>0</v>
      </c>
      <c r="T21" s="4">
        <v>0</v>
      </c>
      <c r="U21" s="20">
        <f t="shared" si="2"/>
        <v>0</v>
      </c>
      <c r="V21" s="4"/>
      <c r="W21" s="4"/>
    </row>
    <row r="22" spans="2:23" ht="15.75" thickBot="1">
      <c r="B22" s="172" t="s">
        <v>56</v>
      </c>
      <c r="C22" s="86">
        <v>3</v>
      </c>
      <c r="D22" s="86" t="s">
        <v>67</v>
      </c>
      <c r="E22" s="70" t="s">
        <v>74</v>
      </c>
      <c r="G22" s="728"/>
      <c r="H22" s="731"/>
      <c r="I22" s="705"/>
      <c r="J22" s="706"/>
      <c r="K22" s="706"/>
      <c r="L22" s="715"/>
      <c r="M22" s="760"/>
      <c r="O22" s="13">
        <v>12</v>
      </c>
      <c r="P22" s="99">
        <v>6</v>
      </c>
      <c r="Q22" s="78">
        <f t="shared" si="0"/>
        <v>72</v>
      </c>
      <c r="R22" s="10"/>
      <c r="S22" s="4">
        <v>0</v>
      </c>
      <c r="T22" s="4">
        <v>0</v>
      </c>
      <c r="U22" s="20">
        <f t="shared" si="2"/>
        <v>0</v>
      </c>
      <c r="V22" s="4"/>
      <c r="W22" s="4"/>
    </row>
    <row r="23" spans="2:23" ht="15.75" thickBot="1">
      <c r="B23" s="172" t="s">
        <v>75</v>
      </c>
      <c r="C23" s="88">
        <v>1</v>
      </c>
      <c r="D23" s="88" t="s">
        <v>76</v>
      </c>
      <c r="E23" s="70" t="s">
        <v>74</v>
      </c>
      <c r="G23" s="720">
        <v>1</v>
      </c>
      <c r="H23" s="723" t="s">
        <v>68</v>
      </c>
      <c r="I23" s="711">
        <v>8025</v>
      </c>
      <c r="J23" s="718" t="s">
        <v>227</v>
      </c>
      <c r="K23" s="711" t="s">
        <v>220</v>
      </c>
      <c r="L23" s="685" t="s">
        <v>221</v>
      </c>
      <c r="M23" s="685">
        <f>65+77+65+77</f>
        <v>284</v>
      </c>
      <c r="O23" s="271">
        <v>13</v>
      </c>
      <c r="P23" s="252">
        <v>5</v>
      </c>
      <c r="Q23" s="272">
        <f t="shared" si="0"/>
        <v>65</v>
      </c>
      <c r="R23" s="10"/>
      <c r="S23" s="4">
        <v>0</v>
      </c>
      <c r="T23" s="4">
        <v>0</v>
      </c>
      <c r="U23" s="20">
        <f t="shared" si="2"/>
        <v>0</v>
      </c>
      <c r="V23" s="4"/>
      <c r="W23" s="4"/>
    </row>
    <row r="24" spans="2:23">
      <c r="B24" s="273" t="s">
        <v>56</v>
      </c>
      <c r="C24" s="86">
        <v>1</v>
      </c>
      <c r="D24" s="86" t="s">
        <v>222</v>
      </c>
      <c r="E24" s="70" t="s">
        <v>74</v>
      </c>
      <c r="G24" s="721"/>
      <c r="H24" s="724"/>
      <c r="I24" s="704"/>
      <c r="J24" s="719"/>
      <c r="K24" s="704"/>
      <c r="L24" s="686"/>
      <c r="M24" s="686"/>
      <c r="O24" s="271">
        <v>13</v>
      </c>
      <c r="P24" s="252">
        <v>5</v>
      </c>
      <c r="Q24" s="272">
        <f t="shared" si="0"/>
        <v>65</v>
      </c>
      <c r="R24" s="10"/>
      <c r="S24" s="4">
        <v>0</v>
      </c>
      <c r="T24" s="4">
        <v>0</v>
      </c>
      <c r="U24" s="20">
        <f t="shared" si="2"/>
        <v>0</v>
      </c>
      <c r="V24" s="4"/>
      <c r="W24" s="4"/>
    </row>
    <row r="25" spans="2:23" ht="15.75" thickBot="1">
      <c r="B25" s="275" t="s">
        <v>56</v>
      </c>
      <c r="C25" s="89">
        <v>1</v>
      </c>
      <c r="D25" s="89" t="s">
        <v>59</v>
      </c>
      <c r="E25" s="71" t="s">
        <v>74</v>
      </c>
      <c r="G25" s="721"/>
      <c r="H25" s="724"/>
      <c r="I25" s="704"/>
      <c r="J25" s="719"/>
      <c r="K25" s="704"/>
      <c r="L25" s="686"/>
      <c r="M25" s="686"/>
      <c r="O25" s="14">
        <v>12</v>
      </c>
      <c r="P25" s="4">
        <v>1</v>
      </c>
      <c r="Q25" s="176">
        <f t="shared" si="0"/>
        <v>12</v>
      </c>
      <c r="R25" s="10"/>
      <c r="S25" s="4">
        <v>0</v>
      </c>
      <c r="T25" s="4">
        <v>0</v>
      </c>
      <c r="U25" s="20">
        <f t="shared" si="2"/>
        <v>0</v>
      </c>
      <c r="V25" s="4"/>
      <c r="W25" s="4"/>
    </row>
    <row r="26" spans="2:23">
      <c r="B26" s="276" t="s">
        <v>56</v>
      </c>
      <c r="C26" s="192">
        <v>1</v>
      </c>
      <c r="D26" s="261" t="s">
        <v>60</v>
      </c>
      <c r="E26" s="262" t="s">
        <v>77</v>
      </c>
      <c r="G26" s="721"/>
      <c r="H26" s="724"/>
      <c r="I26" s="704"/>
      <c r="J26" s="719"/>
      <c r="K26" s="704"/>
      <c r="L26" s="686"/>
      <c r="M26" s="686"/>
      <c r="O26" s="14">
        <v>13</v>
      </c>
      <c r="P26" s="4">
        <v>5</v>
      </c>
      <c r="Q26" s="175">
        <f t="shared" si="0"/>
        <v>65</v>
      </c>
      <c r="R26" s="10"/>
      <c r="S26" s="4">
        <v>0</v>
      </c>
      <c r="T26" s="4">
        <v>0</v>
      </c>
      <c r="U26" s="20">
        <f t="shared" si="2"/>
        <v>0</v>
      </c>
      <c r="V26" s="4"/>
      <c r="W26" s="4"/>
    </row>
    <row r="27" spans="2:23" ht="15.75" thickBot="1">
      <c r="B27" s="277" t="s">
        <v>75</v>
      </c>
      <c r="C27" s="59">
        <v>1</v>
      </c>
      <c r="D27" s="278" t="s">
        <v>390</v>
      </c>
      <c r="E27" s="181" t="s">
        <v>77</v>
      </c>
      <c r="G27" s="721"/>
      <c r="H27" s="724"/>
      <c r="I27" s="704"/>
      <c r="J27" s="719"/>
      <c r="K27" s="704"/>
      <c r="L27" s="686"/>
      <c r="M27" s="686"/>
      <c r="O27" s="177">
        <v>13</v>
      </c>
      <c r="P27" s="44">
        <v>5</v>
      </c>
      <c r="Q27" s="175">
        <f t="shared" si="0"/>
        <v>65</v>
      </c>
      <c r="R27" s="10"/>
      <c r="S27" s="4">
        <v>0</v>
      </c>
      <c r="T27" s="4">
        <v>0</v>
      </c>
      <c r="U27" s="20">
        <f t="shared" si="2"/>
        <v>0</v>
      </c>
      <c r="V27" s="4"/>
      <c r="W27" s="4"/>
    </row>
    <row r="28" spans="2:23" ht="15.75" thickBot="1">
      <c r="B28" s="28" t="s">
        <v>56</v>
      </c>
      <c r="C28" s="7">
        <v>3</v>
      </c>
      <c r="D28" s="279" t="s">
        <v>78</v>
      </c>
      <c r="E28" s="66" t="s">
        <v>79</v>
      </c>
      <c r="G28" s="722"/>
      <c r="H28" s="725"/>
      <c r="I28" s="705"/>
      <c r="J28" s="732"/>
      <c r="K28" s="705"/>
      <c r="L28" s="687"/>
      <c r="M28" s="687"/>
      <c r="O28" s="100">
        <v>12</v>
      </c>
      <c r="P28" s="5">
        <v>1</v>
      </c>
      <c r="Q28" s="90">
        <f t="shared" si="0"/>
        <v>12</v>
      </c>
      <c r="R28" s="10"/>
      <c r="S28" s="4">
        <v>0</v>
      </c>
      <c r="T28" s="4">
        <v>0</v>
      </c>
      <c r="U28" s="20">
        <f t="shared" si="2"/>
        <v>0</v>
      </c>
      <c r="V28" s="4"/>
      <c r="W28" s="4"/>
    </row>
    <row r="29" spans="2:23" ht="15.75" thickBot="1">
      <c r="B29" s="111" t="s">
        <v>56</v>
      </c>
      <c r="C29" s="42">
        <v>1</v>
      </c>
      <c r="D29" s="257" t="s">
        <v>67</v>
      </c>
      <c r="E29" s="67" t="s">
        <v>80</v>
      </c>
      <c r="G29" s="720">
        <v>1</v>
      </c>
      <c r="H29" s="723" t="s">
        <v>70</v>
      </c>
      <c r="I29" s="711">
        <v>8014</v>
      </c>
      <c r="J29" s="712" t="s">
        <v>219</v>
      </c>
      <c r="K29" s="712" t="s">
        <v>220</v>
      </c>
      <c r="L29" s="685" t="s">
        <v>221</v>
      </c>
      <c r="M29" s="685">
        <v>264</v>
      </c>
      <c r="O29" s="252">
        <v>12</v>
      </c>
      <c r="P29" s="122">
        <v>5</v>
      </c>
      <c r="Q29" s="253">
        <f t="shared" si="0"/>
        <v>60</v>
      </c>
      <c r="R29" s="10"/>
      <c r="S29" s="4">
        <v>0</v>
      </c>
      <c r="T29" s="4">
        <v>0</v>
      </c>
      <c r="U29" s="20">
        <f t="shared" si="2"/>
        <v>0</v>
      </c>
      <c r="V29" s="4"/>
      <c r="W29" s="4"/>
    </row>
    <row r="30" spans="2:23">
      <c r="B30" s="260" t="s">
        <v>56</v>
      </c>
      <c r="C30" s="192">
        <v>1</v>
      </c>
      <c r="D30" s="279" t="s">
        <v>78</v>
      </c>
      <c r="E30" s="281" t="s">
        <v>81</v>
      </c>
      <c r="G30" s="721"/>
      <c r="H30" s="724"/>
      <c r="I30" s="704"/>
      <c r="J30" s="693"/>
      <c r="K30" s="693"/>
      <c r="L30" s="686"/>
      <c r="M30" s="686"/>
      <c r="O30" s="42">
        <v>12</v>
      </c>
      <c r="P30" s="95">
        <v>6</v>
      </c>
      <c r="Q30" s="96">
        <f t="shared" si="0"/>
        <v>72</v>
      </c>
      <c r="R30" s="10"/>
      <c r="S30" s="4">
        <v>0</v>
      </c>
      <c r="T30" s="4">
        <v>0</v>
      </c>
      <c r="U30" s="20">
        <f t="shared" si="2"/>
        <v>0</v>
      </c>
      <c r="V30" s="4"/>
      <c r="W30" s="4"/>
    </row>
    <row r="31" spans="2:23">
      <c r="B31" s="28" t="s">
        <v>56</v>
      </c>
      <c r="C31" s="31">
        <v>5</v>
      </c>
      <c r="D31" s="255" t="s">
        <v>60</v>
      </c>
      <c r="E31" s="66" t="s">
        <v>82</v>
      </c>
      <c r="G31" s="721"/>
      <c r="H31" s="724"/>
      <c r="I31" s="704"/>
      <c r="J31" s="693"/>
      <c r="K31" s="693"/>
      <c r="L31" s="686"/>
      <c r="M31" s="686"/>
      <c r="O31" s="42">
        <v>12</v>
      </c>
      <c r="P31" s="95">
        <v>5</v>
      </c>
      <c r="Q31" s="96">
        <f t="shared" si="0"/>
        <v>60</v>
      </c>
      <c r="R31" s="10"/>
      <c r="S31" s="4">
        <v>0</v>
      </c>
      <c r="T31" s="4">
        <v>0</v>
      </c>
      <c r="U31" s="20">
        <f t="shared" si="2"/>
        <v>0</v>
      </c>
      <c r="V31" s="4"/>
      <c r="W31" s="4"/>
    </row>
    <row r="32" spans="2:23" ht="15.75" thickBot="1">
      <c r="B32" s="27" t="s">
        <v>56</v>
      </c>
      <c r="C32" s="4">
        <v>1</v>
      </c>
      <c r="D32" s="282" t="s">
        <v>78</v>
      </c>
      <c r="E32" s="25" t="s">
        <v>83</v>
      </c>
      <c r="G32" s="722"/>
      <c r="H32" s="725"/>
      <c r="I32" s="705"/>
      <c r="J32" s="706"/>
      <c r="K32" s="706"/>
      <c r="L32" s="687"/>
      <c r="M32" s="687"/>
      <c r="O32" s="13">
        <v>12</v>
      </c>
      <c r="P32" s="99">
        <v>6</v>
      </c>
      <c r="Q32" s="78">
        <f t="shared" si="0"/>
        <v>72</v>
      </c>
      <c r="R32" s="10"/>
      <c r="S32" s="4">
        <v>0</v>
      </c>
      <c r="T32" s="4">
        <v>0</v>
      </c>
      <c r="U32" s="20">
        <f t="shared" si="2"/>
        <v>0</v>
      </c>
      <c r="V32" s="4"/>
      <c r="W32" s="4"/>
    </row>
    <row r="33" spans="2:23" ht="15.75" thickBot="1">
      <c r="B33" s="283" t="s">
        <v>56</v>
      </c>
      <c r="C33" s="87">
        <v>3</v>
      </c>
      <c r="D33" s="87" t="s">
        <v>60</v>
      </c>
      <c r="E33" s="73" t="s">
        <v>84</v>
      </c>
      <c r="G33" s="720">
        <v>1</v>
      </c>
      <c r="H33" s="710" t="s">
        <v>71</v>
      </c>
      <c r="I33" s="711">
        <v>8002</v>
      </c>
      <c r="J33" s="712" t="s">
        <v>219</v>
      </c>
      <c r="K33" s="712" t="s">
        <v>220</v>
      </c>
      <c r="L33" s="685" t="s">
        <v>221</v>
      </c>
      <c r="M33" s="685">
        <v>264</v>
      </c>
      <c r="O33" s="252">
        <v>12</v>
      </c>
      <c r="P33" s="122">
        <v>5</v>
      </c>
      <c r="Q33" s="253">
        <f t="shared" si="0"/>
        <v>60</v>
      </c>
      <c r="R33" s="10"/>
      <c r="S33" s="4">
        <v>0</v>
      </c>
      <c r="T33" s="4">
        <v>0</v>
      </c>
      <c r="U33" s="20">
        <f t="shared" si="2"/>
        <v>0</v>
      </c>
      <c r="V33" s="4"/>
      <c r="W33" s="4"/>
    </row>
    <row r="34" spans="2:23">
      <c r="B34" s="260" t="s">
        <v>75</v>
      </c>
      <c r="C34" s="192">
        <v>2</v>
      </c>
      <c r="D34" s="261" t="s">
        <v>85</v>
      </c>
      <c r="E34" s="262" t="s">
        <v>86</v>
      </c>
      <c r="G34" s="721"/>
      <c r="H34" s="702"/>
      <c r="I34" s="704"/>
      <c r="J34" s="693"/>
      <c r="K34" s="693"/>
      <c r="L34" s="686"/>
      <c r="M34" s="686"/>
      <c r="O34" s="42">
        <v>12</v>
      </c>
      <c r="P34" s="95">
        <v>6</v>
      </c>
      <c r="Q34" s="96">
        <f t="shared" si="0"/>
        <v>72</v>
      </c>
      <c r="R34" s="10"/>
      <c r="S34" s="4">
        <v>0</v>
      </c>
      <c r="T34" s="4">
        <v>0</v>
      </c>
      <c r="U34" s="20">
        <f t="shared" si="2"/>
        <v>0</v>
      </c>
      <c r="V34" s="4"/>
      <c r="W34" s="4"/>
    </row>
    <row r="35" spans="2:23" ht="15.75" thickBot="1">
      <c r="B35" s="108" t="s">
        <v>75</v>
      </c>
      <c r="C35" s="13">
        <v>1</v>
      </c>
      <c r="D35" s="257" t="s">
        <v>87</v>
      </c>
      <c r="E35" s="64" t="s">
        <v>86</v>
      </c>
      <c r="G35" s="721"/>
      <c r="H35" s="702"/>
      <c r="I35" s="704"/>
      <c r="J35" s="693"/>
      <c r="K35" s="693"/>
      <c r="L35" s="686"/>
      <c r="M35" s="686"/>
      <c r="O35" s="42">
        <v>12</v>
      </c>
      <c r="P35" s="95">
        <v>5</v>
      </c>
      <c r="Q35" s="96">
        <f t="shared" si="0"/>
        <v>60</v>
      </c>
      <c r="R35" s="10"/>
      <c r="S35" s="4">
        <v>0</v>
      </c>
      <c r="T35" s="4">
        <v>0</v>
      </c>
      <c r="U35" s="20">
        <f t="shared" si="2"/>
        <v>0</v>
      </c>
      <c r="V35" s="4"/>
      <c r="W35" s="4"/>
    </row>
    <row r="36" spans="2:23" ht="15.75" thickBot="1">
      <c r="B36" s="260" t="s">
        <v>56</v>
      </c>
      <c r="C36" s="685">
        <v>1</v>
      </c>
      <c r="D36" s="761" t="s">
        <v>60</v>
      </c>
      <c r="E36" s="262" t="s">
        <v>88</v>
      </c>
      <c r="G36" s="722"/>
      <c r="H36" s="703"/>
      <c r="I36" s="705"/>
      <c r="J36" s="706"/>
      <c r="K36" s="706"/>
      <c r="L36" s="687"/>
      <c r="M36" s="687"/>
      <c r="O36" s="13">
        <v>12</v>
      </c>
      <c r="P36" s="99">
        <v>6</v>
      </c>
      <c r="Q36" s="78">
        <f t="shared" si="0"/>
        <v>72</v>
      </c>
      <c r="R36" s="10"/>
      <c r="S36" s="4">
        <v>0</v>
      </c>
      <c r="T36" s="4">
        <v>0</v>
      </c>
      <c r="U36" s="20">
        <f t="shared" si="2"/>
        <v>0</v>
      </c>
      <c r="V36" s="4"/>
      <c r="W36" s="4"/>
    </row>
    <row r="37" spans="2:23">
      <c r="B37" s="106" t="s">
        <v>56</v>
      </c>
      <c r="C37" s="686"/>
      <c r="D37" s="762"/>
      <c r="E37" s="25" t="s">
        <v>88</v>
      </c>
      <c r="G37" s="720">
        <v>8</v>
      </c>
      <c r="H37" s="710" t="s">
        <v>72</v>
      </c>
      <c r="I37" s="711">
        <v>8022</v>
      </c>
      <c r="J37" s="711" t="s">
        <v>219</v>
      </c>
      <c r="K37" s="711" t="s">
        <v>220</v>
      </c>
      <c r="L37" s="685" t="s">
        <v>221</v>
      </c>
      <c r="M37" s="713">
        <v>264</v>
      </c>
      <c r="O37" s="252">
        <v>12</v>
      </c>
      <c r="P37" s="122">
        <v>5</v>
      </c>
      <c r="Q37" s="253">
        <f t="shared" si="0"/>
        <v>60</v>
      </c>
      <c r="R37" s="10"/>
      <c r="S37" s="4">
        <v>0</v>
      </c>
      <c r="T37" s="4">
        <v>0</v>
      </c>
      <c r="U37" s="20">
        <f t="shared" si="2"/>
        <v>0</v>
      </c>
      <c r="V37" s="4"/>
      <c r="W37" s="4"/>
    </row>
    <row r="38" spans="2:23">
      <c r="B38" s="107" t="s">
        <v>56</v>
      </c>
      <c r="C38" s="688"/>
      <c r="D38" s="699"/>
      <c r="E38" s="25" t="s">
        <v>88</v>
      </c>
      <c r="G38" s="721"/>
      <c r="H38" s="702"/>
      <c r="I38" s="704"/>
      <c r="J38" s="704"/>
      <c r="K38" s="704"/>
      <c r="L38" s="686"/>
      <c r="M38" s="714"/>
      <c r="O38" s="42">
        <v>12</v>
      </c>
      <c r="P38" s="95">
        <v>6</v>
      </c>
      <c r="Q38" s="96">
        <f t="shared" si="0"/>
        <v>72</v>
      </c>
      <c r="R38" s="10"/>
      <c r="S38" s="4">
        <v>0</v>
      </c>
      <c r="T38" s="4">
        <v>0</v>
      </c>
      <c r="U38" s="20">
        <f t="shared" si="2"/>
        <v>0</v>
      </c>
      <c r="V38" s="4"/>
      <c r="W38" s="4"/>
    </row>
    <row r="39" spans="2:23" ht="15.75" thickBot="1">
      <c r="B39" s="108" t="s">
        <v>56</v>
      </c>
      <c r="C39" s="59">
        <v>1</v>
      </c>
      <c r="D39" s="256" t="s">
        <v>89</v>
      </c>
      <c r="E39" s="64" t="s">
        <v>88</v>
      </c>
      <c r="G39" s="721"/>
      <c r="H39" s="702"/>
      <c r="I39" s="704"/>
      <c r="J39" s="704"/>
      <c r="K39" s="704"/>
      <c r="L39" s="686"/>
      <c r="M39" s="714"/>
      <c r="O39" s="42">
        <v>12</v>
      </c>
      <c r="P39" s="95">
        <v>5</v>
      </c>
      <c r="Q39" s="96">
        <f t="shared" si="0"/>
        <v>60</v>
      </c>
      <c r="R39" s="10"/>
      <c r="S39" s="4">
        <v>0</v>
      </c>
      <c r="T39" s="4">
        <v>0</v>
      </c>
      <c r="U39" s="20">
        <f t="shared" si="2"/>
        <v>0</v>
      </c>
      <c r="V39" s="4"/>
      <c r="W39" s="4"/>
    </row>
    <row r="40" spans="2:23" ht="15.75" thickBot="1">
      <c r="B40" s="260" t="s">
        <v>56</v>
      </c>
      <c r="C40" s="224">
        <v>1</v>
      </c>
      <c r="D40" s="284" t="s">
        <v>60</v>
      </c>
      <c r="E40" s="262" t="s">
        <v>90</v>
      </c>
      <c r="G40" s="722"/>
      <c r="H40" s="703"/>
      <c r="I40" s="705"/>
      <c r="J40" s="705"/>
      <c r="K40" s="705"/>
      <c r="L40" s="687"/>
      <c r="M40" s="715"/>
      <c r="O40" s="13">
        <v>12</v>
      </c>
      <c r="P40" s="99">
        <v>6</v>
      </c>
      <c r="Q40" s="78">
        <f t="shared" si="0"/>
        <v>72</v>
      </c>
      <c r="S40" s="4">
        <v>0</v>
      </c>
      <c r="T40" s="4">
        <v>0</v>
      </c>
      <c r="U40" s="20">
        <f t="shared" si="2"/>
        <v>0</v>
      </c>
      <c r="V40" s="4"/>
      <c r="W40" s="4"/>
    </row>
    <row r="41" spans="2:23" ht="15.75" thickBot="1">
      <c r="B41" s="108" t="s">
        <v>56</v>
      </c>
      <c r="C41" s="13">
        <v>1</v>
      </c>
      <c r="D41" s="257" t="s">
        <v>91</v>
      </c>
      <c r="E41" s="64" t="s">
        <v>90</v>
      </c>
      <c r="G41" s="720">
        <v>1</v>
      </c>
      <c r="H41" s="710" t="s">
        <v>72</v>
      </c>
      <c r="I41" s="711">
        <v>8022</v>
      </c>
      <c r="J41" s="711">
        <v>66</v>
      </c>
      <c r="K41" s="711" t="s">
        <v>220</v>
      </c>
      <c r="L41" s="685" t="s">
        <v>221</v>
      </c>
      <c r="M41" s="685">
        <f>+G41*J41</f>
        <v>66</v>
      </c>
      <c r="O41" s="240">
        <v>12</v>
      </c>
      <c r="P41" s="240">
        <v>5</v>
      </c>
      <c r="Q41" s="253">
        <f t="shared" si="0"/>
        <v>60</v>
      </c>
      <c r="S41" s="4">
        <v>0</v>
      </c>
      <c r="T41" s="4">
        <v>0</v>
      </c>
      <c r="U41" s="20">
        <f t="shared" si="2"/>
        <v>0</v>
      </c>
      <c r="V41" s="4"/>
      <c r="W41" s="4"/>
    </row>
    <row r="42" spans="2:23" ht="15.75" thickBot="1">
      <c r="B42" s="28" t="s">
        <v>56</v>
      </c>
      <c r="C42" s="31">
        <v>1</v>
      </c>
      <c r="D42" s="255" t="s">
        <v>67</v>
      </c>
      <c r="E42" s="65" t="s">
        <v>92</v>
      </c>
      <c r="G42" s="722"/>
      <c r="H42" s="703"/>
      <c r="I42" s="705"/>
      <c r="J42" s="705"/>
      <c r="K42" s="705"/>
      <c r="L42" s="687"/>
      <c r="M42" s="687"/>
      <c r="O42" s="5">
        <v>6</v>
      </c>
      <c r="P42" s="5">
        <v>1</v>
      </c>
      <c r="Q42" s="78">
        <f t="shared" si="0"/>
        <v>6</v>
      </c>
      <c r="S42" s="4">
        <v>0</v>
      </c>
      <c r="T42" s="4">
        <v>0</v>
      </c>
      <c r="U42" s="20">
        <f t="shared" si="2"/>
        <v>0</v>
      </c>
      <c r="V42" s="4"/>
      <c r="W42" s="4"/>
    </row>
    <row r="43" spans="2:23" ht="15.75" thickBot="1">
      <c r="B43" s="112" t="s">
        <v>75</v>
      </c>
      <c r="C43" s="59">
        <v>1</v>
      </c>
      <c r="D43" s="285" t="s">
        <v>60</v>
      </c>
      <c r="E43" s="60" t="s">
        <v>94</v>
      </c>
      <c r="G43" s="720">
        <v>22</v>
      </c>
      <c r="H43" s="710" t="s">
        <v>74</v>
      </c>
      <c r="I43" s="711">
        <v>8009</v>
      </c>
      <c r="J43" s="711" t="s">
        <v>219</v>
      </c>
      <c r="K43" s="711" t="s">
        <v>220</v>
      </c>
      <c r="L43" s="685" t="s">
        <v>221</v>
      </c>
      <c r="M43" s="713">
        <v>264</v>
      </c>
      <c r="O43" s="252">
        <v>12</v>
      </c>
      <c r="P43" s="122">
        <v>5</v>
      </c>
      <c r="Q43" s="253">
        <f t="shared" si="0"/>
        <v>60</v>
      </c>
      <c r="S43" s="4">
        <v>0</v>
      </c>
      <c r="T43" s="4">
        <v>0</v>
      </c>
      <c r="U43" s="20">
        <f t="shared" si="2"/>
        <v>0</v>
      </c>
      <c r="V43" s="4"/>
      <c r="W43" s="4"/>
    </row>
    <row r="44" spans="2:23" ht="15.75" thickBot="1">
      <c r="B44" s="286" t="s">
        <v>75</v>
      </c>
      <c r="C44" s="251">
        <v>1</v>
      </c>
      <c r="D44" s="251" t="s">
        <v>60</v>
      </c>
      <c r="E44" s="287" t="s">
        <v>95</v>
      </c>
      <c r="G44" s="721"/>
      <c r="H44" s="702"/>
      <c r="I44" s="704"/>
      <c r="J44" s="704"/>
      <c r="K44" s="704"/>
      <c r="L44" s="686"/>
      <c r="M44" s="714"/>
      <c r="O44" s="42">
        <v>12</v>
      </c>
      <c r="P44" s="95">
        <v>6</v>
      </c>
      <c r="Q44" s="96">
        <f t="shared" si="0"/>
        <v>72</v>
      </c>
      <c r="S44" s="4">
        <v>0</v>
      </c>
      <c r="T44" s="4">
        <v>0</v>
      </c>
      <c r="U44" s="20">
        <f t="shared" si="2"/>
        <v>0</v>
      </c>
      <c r="V44" s="4"/>
      <c r="W44" s="4"/>
    </row>
    <row r="45" spans="2:23" ht="15.75" thickBot="1">
      <c r="B45" s="288" t="s">
        <v>75</v>
      </c>
      <c r="C45" s="259">
        <v>1</v>
      </c>
      <c r="D45" s="259" t="s">
        <v>721</v>
      </c>
      <c r="E45" s="289" t="s">
        <v>96</v>
      </c>
      <c r="G45" s="721"/>
      <c r="H45" s="702"/>
      <c r="I45" s="704"/>
      <c r="J45" s="704"/>
      <c r="K45" s="704"/>
      <c r="L45" s="686"/>
      <c r="M45" s="714"/>
      <c r="O45" s="42">
        <v>12</v>
      </c>
      <c r="P45" s="95">
        <v>5</v>
      </c>
      <c r="Q45" s="96">
        <f t="shared" si="0"/>
        <v>60</v>
      </c>
      <c r="S45" s="4">
        <v>0</v>
      </c>
      <c r="T45" s="4">
        <v>0</v>
      </c>
      <c r="U45" s="20">
        <f t="shared" si="2"/>
        <v>0</v>
      </c>
      <c r="V45" s="4"/>
      <c r="W45" s="4"/>
    </row>
    <row r="46" spans="2:23" ht="15.75" thickBot="1">
      <c r="B46" s="288" t="s">
        <v>75</v>
      </c>
      <c r="C46" s="259">
        <v>1</v>
      </c>
      <c r="D46" s="259" t="s">
        <v>60</v>
      </c>
      <c r="E46" s="289" t="s">
        <v>230</v>
      </c>
      <c r="G46" s="722"/>
      <c r="H46" s="703"/>
      <c r="I46" s="705"/>
      <c r="J46" s="705"/>
      <c r="K46" s="705"/>
      <c r="L46" s="687"/>
      <c r="M46" s="715"/>
      <c r="O46" s="13">
        <v>12</v>
      </c>
      <c r="P46" s="99">
        <v>6</v>
      </c>
      <c r="Q46" s="78">
        <f t="shared" si="0"/>
        <v>72</v>
      </c>
      <c r="S46" s="4">
        <v>0</v>
      </c>
      <c r="T46" s="4">
        <v>0</v>
      </c>
      <c r="U46" s="20">
        <f t="shared" si="2"/>
        <v>0</v>
      </c>
      <c r="V46" s="4"/>
      <c r="W46" s="4"/>
    </row>
    <row r="47" spans="2:23">
      <c r="B47" s="290" t="s">
        <v>75</v>
      </c>
      <c r="C47" s="86">
        <v>1</v>
      </c>
      <c r="D47" s="86" t="s">
        <v>60</v>
      </c>
      <c r="E47" s="82" t="s">
        <v>205</v>
      </c>
      <c r="G47" s="720">
        <v>1</v>
      </c>
      <c r="H47" s="710" t="s">
        <v>74</v>
      </c>
      <c r="I47" s="711">
        <v>8009</v>
      </c>
      <c r="J47" s="711">
        <v>48</v>
      </c>
      <c r="K47" s="711" t="s">
        <v>220</v>
      </c>
      <c r="L47" s="685" t="s">
        <v>221</v>
      </c>
      <c r="M47" s="685">
        <f>+G47*J47</f>
        <v>48</v>
      </c>
      <c r="O47" s="240">
        <v>8</v>
      </c>
      <c r="P47" s="240">
        <v>5</v>
      </c>
      <c r="Q47" s="253">
        <f t="shared" si="0"/>
        <v>40</v>
      </c>
      <c r="S47" s="4">
        <v>0</v>
      </c>
      <c r="T47" s="4">
        <v>0</v>
      </c>
      <c r="U47" s="20">
        <f t="shared" si="2"/>
        <v>0</v>
      </c>
      <c r="V47" s="4"/>
      <c r="W47" s="4"/>
    </row>
    <row r="48" spans="2:23" ht="15.75" thickBot="1">
      <c r="B48" s="290" t="s">
        <v>75</v>
      </c>
      <c r="C48" s="86">
        <v>1</v>
      </c>
      <c r="D48" s="86" t="s">
        <v>60</v>
      </c>
      <c r="E48" s="82" t="s">
        <v>236</v>
      </c>
      <c r="G48" s="722"/>
      <c r="H48" s="703"/>
      <c r="I48" s="705"/>
      <c r="J48" s="705"/>
      <c r="K48" s="705"/>
      <c r="L48" s="687"/>
      <c r="M48" s="687"/>
      <c r="O48" s="61">
        <v>12</v>
      </c>
      <c r="P48" s="61">
        <v>1</v>
      </c>
      <c r="Q48" s="81">
        <f t="shared" si="0"/>
        <v>12</v>
      </c>
      <c r="S48" s="4">
        <v>0</v>
      </c>
      <c r="T48" s="4">
        <v>0</v>
      </c>
      <c r="U48" s="20">
        <f t="shared" si="2"/>
        <v>0</v>
      </c>
      <c r="V48" s="4"/>
      <c r="W48" s="4"/>
    </row>
    <row r="49" spans="2:34">
      <c r="B49" s="290" t="s">
        <v>75</v>
      </c>
      <c r="C49" s="86">
        <v>1</v>
      </c>
      <c r="D49" s="86" t="s">
        <v>721</v>
      </c>
      <c r="E49" s="82" t="s">
        <v>386</v>
      </c>
      <c r="G49" s="720">
        <v>1</v>
      </c>
      <c r="H49" s="710" t="s">
        <v>74</v>
      </c>
      <c r="I49" s="711">
        <v>8009</v>
      </c>
      <c r="J49" s="711">
        <v>40</v>
      </c>
      <c r="K49" s="711" t="s">
        <v>220</v>
      </c>
      <c r="L49" s="685" t="s">
        <v>221</v>
      </c>
      <c r="M49" s="685">
        <f>+G49*J49</f>
        <v>40</v>
      </c>
      <c r="O49" s="192">
        <v>6</v>
      </c>
      <c r="P49" s="291">
        <v>5</v>
      </c>
      <c r="Q49" s="96">
        <f t="shared" si="0"/>
        <v>30</v>
      </c>
      <c r="S49" s="4">
        <v>0</v>
      </c>
      <c r="T49" s="4">
        <v>0</v>
      </c>
      <c r="U49" s="20">
        <f t="shared" si="2"/>
        <v>0</v>
      </c>
      <c r="V49" s="4"/>
      <c r="W49" s="4"/>
    </row>
    <row r="50" spans="2:34" ht="15.75" thickBot="1">
      <c r="C50" s="104">
        <f>SUM(C5:C49)</f>
        <v>78</v>
      </c>
      <c r="G50" s="722"/>
      <c r="H50" s="703"/>
      <c r="I50" s="705"/>
      <c r="J50" s="705"/>
      <c r="K50" s="705"/>
      <c r="L50" s="687"/>
      <c r="M50" s="687"/>
      <c r="O50" s="5">
        <v>10</v>
      </c>
      <c r="P50" s="5">
        <v>1</v>
      </c>
      <c r="Q50" s="101">
        <f t="shared" si="0"/>
        <v>10</v>
      </c>
      <c r="S50" s="4">
        <v>0</v>
      </c>
      <c r="T50" s="4">
        <v>0</v>
      </c>
      <c r="U50" s="20">
        <f t="shared" si="2"/>
        <v>0</v>
      </c>
      <c r="V50" s="4"/>
      <c r="W50" s="4"/>
    </row>
    <row r="51" spans="2:34" ht="15.75" thickBot="1">
      <c r="B51" s="753" t="s">
        <v>374</v>
      </c>
      <c r="C51" s="754"/>
      <c r="D51" s="754"/>
      <c r="E51" s="755"/>
      <c r="G51" s="720">
        <v>3</v>
      </c>
      <c r="H51" s="710" t="s">
        <v>77</v>
      </c>
      <c r="I51" s="711">
        <v>8018</v>
      </c>
      <c r="J51" s="711" t="s">
        <v>219</v>
      </c>
      <c r="K51" s="711" t="s">
        <v>220</v>
      </c>
      <c r="L51" s="685" t="s">
        <v>221</v>
      </c>
      <c r="M51" s="685">
        <v>264</v>
      </c>
      <c r="O51" s="252">
        <v>12</v>
      </c>
      <c r="P51" s="122">
        <v>5</v>
      </c>
      <c r="Q51" s="253">
        <f t="shared" si="0"/>
        <v>60</v>
      </c>
      <c r="S51" s="4">
        <v>0</v>
      </c>
      <c r="T51" s="4">
        <v>0</v>
      </c>
      <c r="U51" s="20">
        <f t="shared" si="2"/>
        <v>0</v>
      </c>
      <c r="V51" s="4"/>
      <c r="W51" s="4"/>
    </row>
    <row r="52" spans="2:34">
      <c r="B52" s="165" t="s">
        <v>49</v>
      </c>
      <c r="C52" s="166" t="s">
        <v>50</v>
      </c>
      <c r="D52" s="167" t="s">
        <v>51</v>
      </c>
      <c r="E52" s="168" t="s">
        <v>52</v>
      </c>
      <c r="F52" s="10"/>
      <c r="G52" s="721"/>
      <c r="H52" s="702"/>
      <c r="I52" s="704"/>
      <c r="J52" s="704"/>
      <c r="K52" s="704"/>
      <c r="L52" s="686"/>
      <c r="M52" s="686"/>
      <c r="O52" s="42">
        <v>12</v>
      </c>
      <c r="P52" s="95">
        <v>6</v>
      </c>
      <c r="Q52" s="96">
        <f t="shared" si="0"/>
        <v>72</v>
      </c>
      <c r="S52" s="4">
        <v>0</v>
      </c>
      <c r="T52" s="4">
        <v>0</v>
      </c>
      <c r="U52" s="20">
        <f t="shared" si="2"/>
        <v>0</v>
      </c>
      <c r="V52" s="4"/>
      <c r="W52" s="4"/>
    </row>
    <row r="53" spans="2:34">
      <c r="B53" s="292" t="s">
        <v>56</v>
      </c>
      <c r="C53" s="692">
        <v>2</v>
      </c>
      <c r="D53" s="692" t="s">
        <v>363</v>
      </c>
      <c r="E53" s="169" t="s">
        <v>308</v>
      </c>
      <c r="G53" s="721"/>
      <c r="H53" s="702"/>
      <c r="I53" s="704"/>
      <c r="J53" s="704"/>
      <c r="K53" s="704"/>
      <c r="L53" s="686"/>
      <c r="M53" s="686"/>
      <c r="O53" s="42">
        <v>12</v>
      </c>
      <c r="P53" s="95">
        <v>5</v>
      </c>
      <c r="Q53" s="96">
        <f t="shared" si="0"/>
        <v>60</v>
      </c>
      <c r="S53" s="4">
        <v>0</v>
      </c>
      <c r="T53" s="4">
        <v>0</v>
      </c>
      <c r="U53" s="20">
        <f t="shared" si="2"/>
        <v>0</v>
      </c>
      <c r="V53" s="4"/>
      <c r="W53" s="4"/>
    </row>
    <row r="54" spans="2:34" ht="15.75" thickBot="1">
      <c r="B54" s="292" t="s">
        <v>56</v>
      </c>
      <c r="C54" s="693"/>
      <c r="D54" s="693"/>
      <c r="E54" s="169" t="s">
        <v>308</v>
      </c>
      <c r="G54" s="763"/>
      <c r="H54" s="736"/>
      <c r="I54" s="734"/>
      <c r="J54" s="734"/>
      <c r="K54" s="734"/>
      <c r="L54" s="688"/>
      <c r="M54" s="686"/>
      <c r="O54" s="13">
        <v>12</v>
      </c>
      <c r="P54" s="99">
        <v>6</v>
      </c>
      <c r="Q54" s="78">
        <f t="shared" si="0"/>
        <v>72</v>
      </c>
      <c r="S54" s="4">
        <v>0</v>
      </c>
      <c r="T54" s="4">
        <v>0</v>
      </c>
      <c r="U54" s="20">
        <f t="shared" si="2"/>
        <v>0</v>
      </c>
      <c r="V54" s="4"/>
      <c r="W54" s="4"/>
      <c r="AC54" s="10"/>
      <c r="AD54" s="4">
        <v>0</v>
      </c>
      <c r="AE54" s="4">
        <v>0</v>
      </c>
      <c r="AF54" s="20">
        <f t="shared" ref="AF54" si="3">AD54*AE54</f>
        <v>0</v>
      </c>
      <c r="AG54" s="4"/>
      <c r="AH54" s="4"/>
    </row>
    <row r="55" spans="2:34" s="10" customFormat="1" ht="15.75" thickBot="1">
      <c r="B55" s="292" t="s">
        <v>56</v>
      </c>
      <c r="C55" s="694"/>
      <c r="D55" s="694"/>
      <c r="E55" s="169" t="s">
        <v>308</v>
      </c>
      <c r="F55"/>
      <c r="G55" s="280">
        <v>1</v>
      </c>
      <c r="H55" s="149" t="s">
        <v>77</v>
      </c>
      <c r="I55" s="144">
        <v>8018</v>
      </c>
      <c r="J55" s="62">
        <v>60</v>
      </c>
      <c r="K55" s="62">
        <v>60</v>
      </c>
      <c r="L55" s="278" t="s">
        <v>221</v>
      </c>
      <c r="M55" s="13">
        <f>+G55*J55</f>
        <v>60</v>
      </c>
      <c r="N55"/>
      <c r="O55" s="80">
        <v>10</v>
      </c>
      <c r="P55" s="150">
        <v>6</v>
      </c>
      <c r="Q55" s="102">
        <f t="shared" si="0"/>
        <v>60</v>
      </c>
      <c r="R55"/>
      <c r="S55" s="4"/>
      <c r="T55" s="4"/>
      <c r="U55" s="20"/>
      <c r="V55" s="4"/>
      <c r="W55" s="4"/>
      <c r="X55"/>
      <c r="Y55"/>
    </row>
    <row r="56" spans="2:34" ht="15.75" thickBot="1">
      <c r="B56" s="293" t="s">
        <v>56</v>
      </c>
      <c r="C56" s="89">
        <v>1</v>
      </c>
      <c r="D56" s="89" t="s">
        <v>364</v>
      </c>
      <c r="E56" s="171" t="s">
        <v>308</v>
      </c>
      <c r="G56" s="704">
        <v>8</v>
      </c>
      <c r="H56" s="702" t="s">
        <v>79</v>
      </c>
      <c r="I56" s="704">
        <v>8023</v>
      </c>
      <c r="J56" s="704" t="s">
        <v>219</v>
      </c>
      <c r="K56" s="704" t="s">
        <v>220</v>
      </c>
      <c r="L56" s="686" t="s">
        <v>221</v>
      </c>
      <c r="M56" s="686">
        <v>264</v>
      </c>
      <c r="O56" s="252">
        <v>12</v>
      </c>
      <c r="P56" s="122">
        <v>5</v>
      </c>
      <c r="Q56" s="253">
        <f t="shared" si="0"/>
        <v>60</v>
      </c>
      <c r="S56" s="4">
        <v>0</v>
      </c>
      <c r="T56" s="4">
        <v>0</v>
      </c>
      <c r="U56" s="20">
        <f t="shared" ref="U56:U126" si="4">S56*T56</f>
        <v>0</v>
      </c>
      <c r="V56" s="4"/>
      <c r="W56" s="4"/>
    </row>
    <row r="57" spans="2:34">
      <c r="B57" s="294" t="s">
        <v>56</v>
      </c>
      <c r="C57" s="86">
        <v>1</v>
      </c>
      <c r="D57" s="86" t="s">
        <v>365</v>
      </c>
      <c r="E57" s="295" t="s">
        <v>349</v>
      </c>
      <c r="G57" s="704"/>
      <c r="H57" s="702"/>
      <c r="I57" s="704"/>
      <c r="J57" s="704"/>
      <c r="K57" s="704"/>
      <c r="L57" s="686"/>
      <c r="M57" s="686"/>
      <c r="O57" s="42">
        <v>12</v>
      </c>
      <c r="P57" s="95">
        <v>6</v>
      </c>
      <c r="Q57" s="96">
        <f t="shared" si="0"/>
        <v>72</v>
      </c>
      <c r="S57" s="4">
        <v>0</v>
      </c>
      <c r="T57" s="4">
        <v>0</v>
      </c>
      <c r="U57" s="20">
        <f t="shared" si="4"/>
        <v>0</v>
      </c>
      <c r="V57" s="4"/>
      <c r="W57" s="4"/>
    </row>
    <row r="58" spans="2:34">
      <c r="B58" s="292" t="s">
        <v>56</v>
      </c>
      <c r="C58" s="86">
        <v>1</v>
      </c>
      <c r="D58" s="86" t="s">
        <v>366</v>
      </c>
      <c r="E58" s="169" t="s">
        <v>351</v>
      </c>
      <c r="G58" s="704"/>
      <c r="H58" s="702"/>
      <c r="I58" s="704"/>
      <c r="J58" s="704"/>
      <c r="K58" s="704"/>
      <c r="L58" s="686"/>
      <c r="M58" s="686"/>
      <c r="O58" s="42">
        <v>12</v>
      </c>
      <c r="P58" s="95">
        <v>5</v>
      </c>
      <c r="Q58" s="96">
        <f t="shared" si="0"/>
        <v>60</v>
      </c>
      <c r="S58" s="4">
        <v>0</v>
      </c>
      <c r="T58" s="4">
        <v>0</v>
      </c>
      <c r="U58" s="20">
        <f t="shared" si="4"/>
        <v>0</v>
      </c>
      <c r="V58" s="4"/>
      <c r="W58" s="4"/>
    </row>
    <row r="59" spans="2:34" ht="15.75" thickBot="1">
      <c r="B59" s="292" t="s">
        <v>56</v>
      </c>
      <c r="C59" s="86">
        <v>1</v>
      </c>
      <c r="D59" s="86" t="s">
        <v>367</v>
      </c>
      <c r="E59" s="169" t="s">
        <v>353</v>
      </c>
      <c r="G59" s="734"/>
      <c r="H59" s="736"/>
      <c r="I59" s="734"/>
      <c r="J59" s="734"/>
      <c r="K59" s="734"/>
      <c r="L59" s="688"/>
      <c r="M59" s="687"/>
      <c r="O59" s="13">
        <v>12</v>
      </c>
      <c r="P59" s="99">
        <v>6</v>
      </c>
      <c r="Q59" s="78">
        <f t="shared" si="0"/>
        <v>72</v>
      </c>
      <c r="S59" s="4">
        <v>0</v>
      </c>
      <c r="T59" s="4">
        <v>0</v>
      </c>
      <c r="U59" s="20">
        <f t="shared" si="4"/>
        <v>0</v>
      </c>
      <c r="V59" s="4"/>
      <c r="W59" s="4"/>
    </row>
    <row r="60" spans="2:34">
      <c r="B60" s="292" t="s">
        <v>56</v>
      </c>
      <c r="C60" s="86">
        <v>1</v>
      </c>
      <c r="D60" s="86" t="s">
        <v>368</v>
      </c>
      <c r="E60" s="169" t="s">
        <v>355</v>
      </c>
      <c r="G60" s="733">
        <v>1</v>
      </c>
      <c r="H60" s="735" t="s">
        <v>80</v>
      </c>
      <c r="I60" s="733">
        <v>8012</v>
      </c>
      <c r="J60" s="733" t="s">
        <v>219</v>
      </c>
      <c r="K60" s="733" t="s">
        <v>220</v>
      </c>
      <c r="L60" s="737" t="s">
        <v>221</v>
      </c>
      <c r="M60" s="685">
        <v>264</v>
      </c>
      <c r="O60" s="252">
        <v>12</v>
      </c>
      <c r="P60" s="122">
        <v>5</v>
      </c>
      <c r="Q60" s="253">
        <f t="shared" si="0"/>
        <v>60</v>
      </c>
      <c r="S60" s="4">
        <v>0</v>
      </c>
      <c r="T60" s="4">
        <v>0</v>
      </c>
      <c r="U60" s="20">
        <f t="shared" si="4"/>
        <v>0</v>
      </c>
      <c r="V60" s="4"/>
      <c r="W60" s="4"/>
    </row>
    <row r="61" spans="2:34">
      <c r="B61" s="292" t="s">
        <v>56</v>
      </c>
      <c r="C61" s="86">
        <v>1</v>
      </c>
      <c r="D61" s="86" t="s">
        <v>368</v>
      </c>
      <c r="E61" s="170" t="s">
        <v>357</v>
      </c>
      <c r="G61" s="704"/>
      <c r="H61" s="702"/>
      <c r="I61" s="704"/>
      <c r="J61" s="704"/>
      <c r="K61" s="704"/>
      <c r="L61" s="686"/>
      <c r="M61" s="686"/>
      <c r="O61" s="42">
        <v>12</v>
      </c>
      <c r="P61" s="95">
        <v>6</v>
      </c>
      <c r="Q61" s="96">
        <f t="shared" si="0"/>
        <v>72</v>
      </c>
      <c r="S61" s="4">
        <v>0</v>
      </c>
      <c r="T61" s="4">
        <v>0</v>
      </c>
      <c r="U61" s="20">
        <f t="shared" si="4"/>
        <v>0</v>
      </c>
      <c r="V61" s="4"/>
      <c r="W61" s="4"/>
    </row>
    <row r="62" spans="2:34" ht="15.75" thickBot="1">
      <c r="B62" s="293" t="s">
        <v>56</v>
      </c>
      <c r="C62" s="87">
        <v>1</v>
      </c>
      <c r="D62" s="87" t="s">
        <v>369</v>
      </c>
      <c r="E62" s="171" t="s">
        <v>359</v>
      </c>
      <c r="G62" s="704"/>
      <c r="H62" s="702"/>
      <c r="I62" s="704"/>
      <c r="J62" s="704"/>
      <c r="K62" s="704"/>
      <c r="L62" s="686"/>
      <c r="M62" s="686"/>
      <c r="O62" s="42">
        <v>12</v>
      </c>
      <c r="P62" s="95">
        <v>5</v>
      </c>
      <c r="Q62" s="96">
        <f t="shared" si="0"/>
        <v>60</v>
      </c>
      <c r="S62" s="4">
        <v>0</v>
      </c>
      <c r="T62" s="4">
        <v>0</v>
      </c>
      <c r="U62" s="20">
        <f t="shared" si="4"/>
        <v>0</v>
      </c>
      <c r="V62" s="4"/>
      <c r="W62" s="4"/>
    </row>
    <row r="63" spans="2:34" ht="15.75" thickBot="1">
      <c r="B63" s="297" t="s">
        <v>370</v>
      </c>
      <c r="C63" s="259">
        <v>1</v>
      </c>
      <c r="D63" s="259" t="s">
        <v>371</v>
      </c>
      <c r="E63" s="298" t="s">
        <v>372</v>
      </c>
      <c r="G63" s="734"/>
      <c r="H63" s="736"/>
      <c r="I63" s="734"/>
      <c r="J63" s="734"/>
      <c r="K63" s="734"/>
      <c r="L63" s="688"/>
      <c r="M63" s="687"/>
      <c r="O63" s="13">
        <v>12</v>
      </c>
      <c r="P63" s="99">
        <v>6</v>
      </c>
      <c r="Q63" s="78">
        <f t="shared" si="0"/>
        <v>72</v>
      </c>
      <c r="S63" s="4">
        <v>0</v>
      </c>
      <c r="T63" s="4">
        <v>0</v>
      </c>
      <c r="U63" s="20">
        <f t="shared" si="4"/>
        <v>0</v>
      </c>
      <c r="V63" s="4"/>
      <c r="W63" s="4"/>
    </row>
    <row r="64" spans="2:34">
      <c r="B64" s="172" t="s">
        <v>370</v>
      </c>
      <c r="C64" s="88">
        <v>1</v>
      </c>
      <c r="D64" s="88" t="s">
        <v>373</v>
      </c>
      <c r="E64" s="169" t="s">
        <v>264</v>
      </c>
      <c r="G64" s="733">
        <v>3</v>
      </c>
      <c r="H64" s="735" t="s">
        <v>81</v>
      </c>
      <c r="I64" s="733">
        <v>8004</v>
      </c>
      <c r="J64" s="733" t="s">
        <v>219</v>
      </c>
      <c r="K64" s="733" t="s">
        <v>220</v>
      </c>
      <c r="L64" s="737" t="s">
        <v>221</v>
      </c>
      <c r="M64" s="685">
        <v>264</v>
      </c>
      <c r="O64" s="252">
        <v>12</v>
      </c>
      <c r="P64" s="122">
        <v>5</v>
      </c>
      <c r="Q64" s="253">
        <f t="shared" si="0"/>
        <v>60</v>
      </c>
      <c r="R64" s="74"/>
      <c r="S64" s="4">
        <v>0</v>
      </c>
      <c r="T64" s="4">
        <v>0</v>
      </c>
      <c r="U64" s="20">
        <f t="shared" si="4"/>
        <v>0</v>
      </c>
      <c r="V64" s="4"/>
      <c r="W64" s="4"/>
    </row>
    <row r="65" spans="3:23">
      <c r="C65" s="174">
        <f>SUM(C53:C64)</f>
        <v>11</v>
      </c>
      <c r="G65" s="704"/>
      <c r="H65" s="702"/>
      <c r="I65" s="704"/>
      <c r="J65" s="704"/>
      <c r="K65" s="704"/>
      <c r="L65" s="686"/>
      <c r="M65" s="686"/>
      <c r="O65" s="42">
        <v>12</v>
      </c>
      <c r="P65" s="95">
        <v>6</v>
      </c>
      <c r="Q65" s="96">
        <f t="shared" si="0"/>
        <v>72</v>
      </c>
      <c r="S65" s="4">
        <v>0</v>
      </c>
      <c r="T65" s="4">
        <v>0</v>
      </c>
      <c r="U65" s="20">
        <f t="shared" si="4"/>
        <v>0</v>
      </c>
      <c r="V65" s="4"/>
      <c r="W65" s="4"/>
    </row>
    <row r="66" spans="3:23">
      <c r="G66" s="704"/>
      <c r="H66" s="702"/>
      <c r="I66" s="704"/>
      <c r="J66" s="704"/>
      <c r="K66" s="704"/>
      <c r="L66" s="686"/>
      <c r="M66" s="686"/>
      <c r="O66" s="42">
        <v>12</v>
      </c>
      <c r="P66" s="95">
        <v>5</v>
      </c>
      <c r="Q66" s="96">
        <f t="shared" si="0"/>
        <v>60</v>
      </c>
      <c r="S66" s="4">
        <v>0</v>
      </c>
      <c r="T66" s="4">
        <v>0</v>
      </c>
      <c r="U66" s="20">
        <f t="shared" si="4"/>
        <v>0</v>
      </c>
      <c r="V66" s="4"/>
      <c r="W66" s="4"/>
    </row>
    <row r="67" spans="3:23" ht="15.75" thickBot="1">
      <c r="C67" s="132"/>
      <c r="G67" s="734"/>
      <c r="H67" s="736"/>
      <c r="I67" s="734"/>
      <c r="J67" s="734"/>
      <c r="K67" s="734"/>
      <c r="L67" s="688"/>
      <c r="M67" s="687"/>
      <c r="O67" s="13">
        <v>12</v>
      </c>
      <c r="P67" s="99">
        <v>6</v>
      </c>
      <c r="Q67" s="78">
        <f t="shared" si="0"/>
        <v>72</v>
      </c>
      <c r="S67" s="4">
        <v>0</v>
      </c>
      <c r="T67" s="4">
        <v>0</v>
      </c>
      <c r="U67" s="20">
        <f t="shared" si="4"/>
        <v>0</v>
      </c>
      <c r="V67" s="4"/>
      <c r="W67" s="4"/>
    </row>
    <row r="68" spans="3:23">
      <c r="G68" s="733">
        <v>13</v>
      </c>
      <c r="H68" s="735" t="s">
        <v>82</v>
      </c>
      <c r="I68" s="733">
        <v>8003</v>
      </c>
      <c r="J68" s="733" t="s">
        <v>219</v>
      </c>
      <c r="K68" s="733" t="s">
        <v>220</v>
      </c>
      <c r="L68" s="737" t="s">
        <v>221</v>
      </c>
      <c r="M68" s="685">
        <v>264</v>
      </c>
      <c r="O68" s="252">
        <v>12</v>
      </c>
      <c r="P68" s="122">
        <v>5</v>
      </c>
      <c r="Q68" s="253">
        <f t="shared" si="0"/>
        <v>60</v>
      </c>
      <c r="S68" s="4">
        <v>0</v>
      </c>
      <c r="T68" s="4">
        <v>0</v>
      </c>
      <c r="U68" s="20">
        <f t="shared" si="4"/>
        <v>0</v>
      </c>
      <c r="V68" s="4"/>
      <c r="W68" s="4"/>
    </row>
    <row r="69" spans="3:23">
      <c r="G69" s="704"/>
      <c r="H69" s="702"/>
      <c r="I69" s="704"/>
      <c r="J69" s="704"/>
      <c r="K69" s="704"/>
      <c r="L69" s="686"/>
      <c r="M69" s="686"/>
      <c r="O69" s="42">
        <v>12</v>
      </c>
      <c r="P69" s="95">
        <v>6</v>
      </c>
      <c r="Q69" s="96">
        <f t="shared" si="0"/>
        <v>72</v>
      </c>
      <c r="S69" s="4">
        <v>0</v>
      </c>
      <c r="T69" s="4">
        <v>0</v>
      </c>
      <c r="U69" s="20">
        <f t="shared" si="4"/>
        <v>0</v>
      </c>
      <c r="V69" s="4"/>
      <c r="W69" s="4"/>
    </row>
    <row r="70" spans="3:23">
      <c r="G70" s="704"/>
      <c r="H70" s="702"/>
      <c r="I70" s="704"/>
      <c r="J70" s="704"/>
      <c r="K70" s="704"/>
      <c r="L70" s="686"/>
      <c r="M70" s="686"/>
      <c r="O70" s="42">
        <v>12</v>
      </c>
      <c r="P70" s="95">
        <v>5</v>
      </c>
      <c r="Q70" s="96">
        <f t="shared" si="0"/>
        <v>60</v>
      </c>
      <c r="S70" s="4">
        <v>0</v>
      </c>
      <c r="T70" s="4">
        <v>0</v>
      </c>
      <c r="U70" s="20">
        <f t="shared" si="4"/>
        <v>0</v>
      </c>
      <c r="V70" s="4"/>
      <c r="W70" s="4"/>
    </row>
    <row r="71" spans="3:23" ht="15.75" thickBot="1">
      <c r="G71" s="734"/>
      <c r="H71" s="736"/>
      <c r="I71" s="734"/>
      <c r="J71" s="734"/>
      <c r="K71" s="734"/>
      <c r="L71" s="688"/>
      <c r="M71" s="688"/>
      <c r="O71" s="13">
        <v>12</v>
      </c>
      <c r="P71" s="99">
        <v>6</v>
      </c>
      <c r="Q71" s="78">
        <f t="shared" ref="Q71:Q94" si="5">O71*P71</f>
        <v>72</v>
      </c>
      <c r="S71" s="4">
        <v>0</v>
      </c>
      <c r="T71" s="4">
        <v>0</v>
      </c>
      <c r="U71" s="20">
        <f t="shared" si="4"/>
        <v>0</v>
      </c>
      <c r="V71" s="4"/>
      <c r="W71" s="4"/>
    </row>
    <row r="72" spans="3:23">
      <c r="G72" s="743">
        <v>2</v>
      </c>
      <c r="H72" s="741" t="s">
        <v>83</v>
      </c>
      <c r="I72" s="743">
        <v>8005</v>
      </c>
      <c r="J72" s="743" t="s">
        <v>219</v>
      </c>
      <c r="K72" s="743" t="s">
        <v>220</v>
      </c>
      <c r="L72" s="745" t="s">
        <v>221</v>
      </c>
      <c r="M72" s="685">
        <v>264</v>
      </c>
      <c r="O72" s="252">
        <v>12</v>
      </c>
      <c r="P72" s="122">
        <v>5</v>
      </c>
      <c r="Q72" s="253">
        <f t="shared" si="5"/>
        <v>60</v>
      </c>
      <c r="R72" s="10"/>
      <c r="S72" s="4">
        <v>0</v>
      </c>
      <c r="T72" s="4">
        <v>0</v>
      </c>
      <c r="U72" s="20">
        <f t="shared" si="4"/>
        <v>0</v>
      </c>
      <c r="V72" s="4"/>
      <c r="W72" s="4"/>
    </row>
    <row r="73" spans="3:23">
      <c r="G73" s="743"/>
      <c r="H73" s="741"/>
      <c r="I73" s="743"/>
      <c r="J73" s="743"/>
      <c r="K73" s="743"/>
      <c r="L73" s="745"/>
      <c r="M73" s="686"/>
      <c r="O73" s="42">
        <v>12</v>
      </c>
      <c r="P73" s="95">
        <v>6</v>
      </c>
      <c r="Q73" s="96">
        <f t="shared" si="5"/>
        <v>72</v>
      </c>
      <c r="S73" s="4">
        <v>0</v>
      </c>
      <c r="T73" s="4">
        <v>0</v>
      </c>
      <c r="U73" s="20">
        <f t="shared" si="4"/>
        <v>0</v>
      </c>
      <c r="V73" s="4"/>
      <c r="W73" s="4"/>
    </row>
    <row r="74" spans="3:23">
      <c r="G74" s="743"/>
      <c r="H74" s="741"/>
      <c r="I74" s="743"/>
      <c r="J74" s="743"/>
      <c r="K74" s="743"/>
      <c r="L74" s="745"/>
      <c r="M74" s="686"/>
      <c r="O74" s="42">
        <v>12</v>
      </c>
      <c r="P74" s="95">
        <v>5</v>
      </c>
      <c r="Q74" s="96">
        <f t="shared" si="5"/>
        <v>60</v>
      </c>
      <c r="S74" s="4">
        <v>0</v>
      </c>
      <c r="T74" s="4">
        <v>0</v>
      </c>
      <c r="U74" s="20">
        <f t="shared" si="4"/>
        <v>0</v>
      </c>
      <c r="V74" s="4"/>
      <c r="W74" s="4"/>
    </row>
    <row r="75" spans="3:23" ht="15.75" thickBot="1">
      <c r="G75" s="743"/>
      <c r="H75" s="741"/>
      <c r="I75" s="743"/>
      <c r="J75" s="743"/>
      <c r="K75" s="743"/>
      <c r="L75" s="745"/>
      <c r="M75" s="688"/>
      <c r="O75" s="13">
        <v>12</v>
      </c>
      <c r="P75" s="99">
        <v>6</v>
      </c>
      <c r="Q75" s="78">
        <f t="shared" si="5"/>
        <v>72</v>
      </c>
      <c r="S75" s="4">
        <v>0</v>
      </c>
      <c r="T75" s="4">
        <v>0</v>
      </c>
      <c r="U75" s="20">
        <f t="shared" si="4"/>
        <v>0</v>
      </c>
      <c r="V75" s="4"/>
      <c r="W75" s="4"/>
    </row>
    <row r="76" spans="3:23">
      <c r="G76" s="743">
        <v>8</v>
      </c>
      <c r="H76" s="741" t="s">
        <v>84</v>
      </c>
      <c r="I76" s="743">
        <v>8010</v>
      </c>
      <c r="J76" s="743" t="s">
        <v>219</v>
      </c>
      <c r="K76" s="743" t="s">
        <v>220</v>
      </c>
      <c r="L76" s="745" t="s">
        <v>221</v>
      </c>
      <c r="M76" s="685">
        <v>264</v>
      </c>
      <c r="O76" s="252">
        <v>12</v>
      </c>
      <c r="P76" s="122">
        <v>5</v>
      </c>
      <c r="Q76" s="253">
        <f t="shared" si="5"/>
        <v>60</v>
      </c>
      <c r="R76" s="10"/>
      <c r="S76" s="4">
        <v>0</v>
      </c>
      <c r="T76" s="4">
        <v>0</v>
      </c>
      <c r="U76" s="20">
        <f t="shared" si="4"/>
        <v>0</v>
      </c>
      <c r="V76" s="4"/>
      <c r="W76" s="4"/>
    </row>
    <row r="77" spans="3:23">
      <c r="G77" s="743"/>
      <c r="H77" s="741"/>
      <c r="I77" s="743"/>
      <c r="J77" s="743"/>
      <c r="K77" s="743"/>
      <c r="L77" s="745"/>
      <c r="M77" s="686"/>
      <c r="O77" s="42">
        <v>12</v>
      </c>
      <c r="P77" s="95">
        <v>6</v>
      </c>
      <c r="Q77" s="96">
        <f t="shared" si="5"/>
        <v>72</v>
      </c>
      <c r="S77" s="4">
        <v>0</v>
      </c>
      <c r="T77" s="4">
        <v>0</v>
      </c>
      <c r="U77" s="20">
        <f t="shared" si="4"/>
        <v>0</v>
      </c>
      <c r="V77" s="4"/>
      <c r="W77" s="4"/>
    </row>
    <row r="78" spans="3:23">
      <c r="G78" s="743"/>
      <c r="H78" s="741"/>
      <c r="I78" s="743"/>
      <c r="J78" s="743"/>
      <c r="K78" s="743"/>
      <c r="L78" s="745"/>
      <c r="M78" s="686"/>
      <c r="O78" s="42">
        <v>12</v>
      </c>
      <c r="P78" s="95">
        <v>5</v>
      </c>
      <c r="Q78" s="96">
        <f t="shared" si="5"/>
        <v>60</v>
      </c>
      <c r="S78" s="4">
        <v>0</v>
      </c>
      <c r="T78" s="4">
        <v>0</v>
      </c>
      <c r="U78" s="20">
        <f t="shared" si="4"/>
        <v>0</v>
      </c>
      <c r="V78" s="4"/>
      <c r="W78" s="4"/>
    </row>
    <row r="79" spans="3:23" ht="15.75" thickBot="1">
      <c r="G79" s="743"/>
      <c r="H79" s="741"/>
      <c r="I79" s="743"/>
      <c r="J79" s="743"/>
      <c r="K79" s="743"/>
      <c r="L79" s="745"/>
      <c r="M79" s="688"/>
      <c r="O79" s="13">
        <v>12</v>
      </c>
      <c r="P79" s="99">
        <v>6</v>
      </c>
      <c r="Q79" s="78">
        <f t="shared" si="5"/>
        <v>72</v>
      </c>
      <c r="S79" s="4">
        <v>0</v>
      </c>
      <c r="T79" s="4">
        <v>0</v>
      </c>
      <c r="U79" s="20">
        <f t="shared" si="4"/>
        <v>0</v>
      </c>
      <c r="V79" s="4"/>
      <c r="W79" s="4"/>
    </row>
    <row r="80" spans="3:23">
      <c r="G80" s="743">
        <v>4</v>
      </c>
      <c r="H80" s="741" t="s">
        <v>86</v>
      </c>
      <c r="I80" s="743">
        <v>8013</v>
      </c>
      <c r="J80" s="743" t="s">
        <v>219</v>
      </c>
      <c r="K80" s="743" t="s">
        <v>220</v>
      </c>
      <c r="L80" s="745" t="s">
        <v>221</v>
      </c>
      <c r="M80" s="685">
        <v>264</v>
      </c>
      <c r="O80" s="252">
        <v>12</v>
      </c>
      <c r="P80" s="122">
        <v>5</v>
      </c>
      <c r="Q80" s="253">
        <f t="shared" si="5"/>
        <v>60</v>
      </c>
      <c r="R80" s="10"/>
      <c r="S80" s="4">
        <v>0</v>
      </c>
      <c r="T80" s="4">
        <v>0</v>
      </c>
      <c r="U80" s="20">
        <f t="shared" si="4"/>
        <v>0</v>
      </c>
      <c r="V80" s="4"/>
      <c r="W80" s="4"/>
    </row>
    <row r="81" spans="7:23">
      <c r="G81" s="743"/>
      <c r="H81" s="741"/>
      <c r="I81" s="743"/>
      <c r="J81" s="743"/>
      <c r="K81" s="743"/>
      <c r="L81" s="745"/>
      <c r="M81" s="686"/>
      <c r="O81" s="42">
        <v>12</v>
      </c>
      <c r="P81" s="95">
        <v>6</v>
      </c>
      <c r="Q81" s="96">
        <f t="shared" si="5"/>
        <v>72</v>
      </c>
      <c r="S81" s="4">
        <v>0</v>
      </c>
      <c r="T81" s="4">
        <v>0</v>
      </c>
      <c r="U81" s="20">
        <f t="shared" si="4"/>
        <v>0</v>
      </c>
      <c r="V81" s="4"/>
      <c r="W81" s="4"/>
    </row>
    <row r="82" spans="7:23">
      <c r="G82" s="743"/>
      <c r="H82" s="741"/>
      <c r="I82" s="743"/>
      <c r="J82" s="743"/>
      <c r="K82" s="743"/>
      <c r="L82" s="745"/>
      <c r="M82" s="686"/>
      <c r="O82" s="42">
        <v>12</v>
      </c>
      <c r="P82" s="95">
        <v>5</v>
      </c>
      <c r="Q82" s="96">
        <f t="shared" si="5"/>
        <v>60</v>
      </c>
      <c r="S82" s="4">
        <v>0</v>
      </c>
      <c r="T82" s="4">
        <v>0</v>
      </c>
      <c r="U82" s="20">
        <f t="shared" si="4"/>
        <v>0</v>
      </c>
      <c r="V82" s="4"/>
      <c r="W82" s="4"/>
    </row>
    <row r="83" spans="7:23" ht="15.75" thickBot="1">
      <c r="G83" s="746"/>
      <c r="H83" s="747"/>
      <c r="I83" s="746"/>
      <c r="J83" s="746"/>
      <c r="K83" s="746"/>
      <c r="L83" s="748"/>
      <c r="M83" s="687"/>
      <c r="O83" s="13">
        <v>12</v>
      </c>
      <c r="P83" s="99">
        <v>6</v>
      </c>
      <c r="Q83" s="78">
        <f t="shared" si="5"/>
        <v>72</v>
      </c>
      <c r="S83" s="4">
        <v>0</v>
      </c>
      <c r="T83" s="4">
        <v>0</v>
      </c>
      <c r="U83" s="20">
        <f t="shared" si="4"/>
        <v>0</v>
      </c>
      <c r="V83" s="4"/>
      <c r="W83" s="4"/>
    </row>
    <row r="84" spans="7:23" ht="15.75" thickBot="1">
      <c r="G84" s="226">
        <v>2</v>
      </c>
      <c r="H84" s="152" t="s">
        <v>88</v>
      </c>
      <c r="I84" s="146">
        <v>8015</v>
      </c>
      <c r="J84" s="43">
        <v>60</v>
      </c>
      <c r="K84" s="43" t="s">
        <v>220</v>
      </c>
      <c r="L84" s="31" t="s">
        <v>221</v>
      </c>
      <c r="M84" s="31">
        <f>+J84</f>
        <v>60</v>
      </c>
      <c r="O84" s="299">
        <v>12</v>
      </c>
      <c r="P84" s="299">
        <v>5</v>
      </c>
      <c r="Q84" s="300">
        <f t="shared" si="5"/>
        <v>60</v>
      </c>
      <c r="R84" s="10"/>
      <c r="S84" s="4">
        <v>0</v>
      </c>
      <c r="T84" s="4">
        <v>0</v>
      </c>
      <c r="U84" s="20">
        <f t="shared" si="4"/>
        <v>0</v>
      </c>
      <c r="V84" s="4"/>
      <c r="W84" s="4"/>
    </row>
    <row r="85" spans="7:23">
      <c r="G85" s="765">
        <v>1</v>
      </c>
      <c r="H85" s="768" t="s">
        <v>88</v>
      </c>
      <c r="I85" s="771">
        <v>8015</v>
      </c>
      <c r="J85" s="771" t="s">
        <v>219</v>
      </c>
      <c r="K85" s="771" t="s">
        <v>220</v>
      </c>
      <c r="L85" s="774" t="s">
        <v>221</v>
      </c>
      <c r="M85" s="777">
        <v>264</v>
      </c>
      <c r="O85" s="252">
        <v>12</v>
      </c>
      <c r="P85" s="122">
        <v>5</v>
      </c>
      <c r="Q85" s="253">
        <f t="shared" si="5"/>
        <v>60</v>
      </c>
      <c r="R85" s="10"/>
      <c r="S85" s="4"/>
      <c r="T85" s="4"/>
      <c r="U85" s="20"/>
      <c r="V85" s="4"/>
      <c r="W85" s="4"/>
    </row>
    <row r="86" spans="7:23">
      <c r="G86" s="766"/>
      <c r="H86" s="769"/>
      <c r="I86" s="772"/>
      <c r="J86" s="772"/>
      <c r="K86" s="772"/>
      <c r="L86" s="775"/>
      <c r="M86" s="775"/>
      <c r="O86" s="42">
        <v>12</v>
      </c>
      <c r="P86" s="95">
        <v>6</v>
      </c>
      <c r="Q86" s="96">
        <f t="shared" si="5"/>
        <v>72</v>
      </c>
      <c r="R86" s="10"/>
      <c r="S86" s="4"/>
      <c r="T86" s="4"/>
      <c r="U86" s="20"/>
      <c r="V86" s="4"/>
      <c r="W86" s="4"/>
    </row>
    <row r="87" spans="7:23">
      <c r="G87" s="766"/>
      <c r="H87" s="769"/>
      <c r="I87" s="772"/>
      <c r="J87" s="772"/>
      <c r="K87" s="772"/>
      <c r="L87" s="775"/>
      <c r="M87" s="775"/>
      <c r="O87" s="42">
        <v>12</v>
      </c>
      <c r="P87" s="95">
        <v>5</v>
      </c>
      <c r="Q87" s="96">
        <f t="shared" si="5"/>
        <v>60</v>
      </c>
      <c r="R87" s="10"/>
      <c r="S87" s="4"/>
      <c r="T87" s="4"/>
      <c r="U87" s="20"/>
      <c r="V87" s="4"/>
      <c r="W87" s="4"/>
    </row>
    <row r="88" spans="7:23" ht="15.75" thickBot="1">
      <c r="G88" s="767"/>
      <c r="H88" s="770"/>
      <c r="I88" s="773"/>
      <c r="J88" s="773"/>
      <c r="K88" s="773"/>
      <c r="L88" s="776"/>
      <c r="M88" s="778"/>
      <c r="O88" s="13">
        <v>12</v>
      </c>
      <c r="P88" s="99">
        <v>6</v>
      </c>
      <c r="Q88" s="78">
        <f t="shared" si="5"/>
        <v>72</v>
      </c>
      <c r="R88" s="10"/>
      <c r="S88" s="4"/>
      <c r="T88" s="4"/>
      <c r="U88" s="20"/>
      <c r="V88" s="4"/>
      <c r="W88" s="4"/>
    </row>
    <row r="89" spans="7:23" ht="15.75" thickBot="1">
      <c r="G89" s="280">
        <v>1</v>
      </c>
      <c r="H89" s="151" t="s">
        <v>88</v>
      </c>
      <c r="I89" s="145">
        <v>8015</v>
      </c>
      <c r="J89" s="145">
        <v>50</v>
      </c>
      <c r="K89" s="145" t="s">
        <v>220</v>
      </c>
      <c r="L89" s="80" t="s">
        <v>221</v>
      </c>
      <c r="M89" s="80">
        <f>+G89*J89</f>
        <v>50</v>
      </c>
      <c r="O89" s="240">
        <v>10</v>
      </c>
      <c r="P89" s="7">
        <v>5</v>
      </c>
      <c r="Q89" s="79">
        <f t="shared" si="5"/>
        <v>50</v>
      </c>
      <c r="R89" s="10"/>
      <c r="S89" s="4">
        <v>0</v>
      </c>
      <c r="T89" s="4">
        <v>0</v>
      </c>
      <c r="U89" s="20">
        <f t="shared" si="4"/>
        <v>0</v>
      </c>
      <c r="V89" s="4"/>
      <c r="W89" s="4"/>
    </row>
    <row r="90" spans="7:23" ht="18.75" customHeight="1">
      <c r="G90" s="738">
        <v>2</v>
      </c>
      <c r="H90" s="740" t="s">
        <v>90</v>
      </c>
      <c r="I90" s="742">
        <v>8006</v>
      </c>
      <c r="J90" s="742" t="s">
        <v>219</v>
      </c>
      <c r="K90" s="742" t="s">
        <v>220</v>
      </c>
      <c r="L90" s="744" t="s">
        <v>221</v>
      </c>
      <c r="M90" s="744">
        <v>264</v>
      </c>
      <c r="O90" s="252">
        <v>12</v>
      </c>
      <c r="P90" s="122">
        <v>5</v>
      </c>
      <c r="Q90" s="253">
        <f t="shared" si="5"/>
        <v>60</v>
      </c>
      <c r="R90" s="10"/>
      <c r="S90" s="4">
        <v>0</v>
      </c>
      <c r="T90" s="4">
        <v>0</v>
      </c>
      <c r="U90" s="20">
        <f t="shared" si="4"/>
        <v>0</v>
      </c>
      <c r="V90" s="4"/>
      <c r="W90" s="4"/>
    </row>
    <row r="91" spans="7:23">
      <c r="G91" s="739"/>
      <c r="H91" s="741"/>
      <c r="I91" s="743"/>
      <c r="J91" s="743"/>
      <c r="K91" s="743"/>
      <c r="L91" s="745"/>
      <c r="M91" s="745"/>
      <c r="O91" s="42">
        <v>12</v>
      </c>
      <c r="P91" s="95">
        <v>6</v>
      </c>
      <c r="Q91" s="96">
        <f t="shared" si="5"/>
        <v>72</v>
      </c>
      <c r="S91" s="4">
        <v>0</v>
      </c>
      <c r="T91" s="4">
        <v>0</v>
      </c>
      <c r="U91" s="20">
        <f t="shared" si="4"/>
        <v>0</v>
      </c>
      <c r="V91" s="4"/>
      <c r="W91" s="4"/>
    </row>
    <row r="92" spans="7:23">
      <c r="G92" s="739"/>
      <c r="H92" s="741"/>
      <c r="I92" s="743"/>
      <c r="J92" s="743"/>
      <c r="K92" s="743"/>
      <c r="L92" s="745"/>
      <c r="M92" s="745"/>
      <c r="O92" s="42">
        <v>12</v>
      </c>
      <c r="P92" s="95">
        <v>5</v>
      </c>
      <c r="Q92" s="96">
        <f t="shared" si="5"/>
        <v>60</v>
      </c>
      <c r="S92" s="4">
        <v>0</v>
      </c>
      <c r="T92" s="4">
        <v>0</v>
      </c>
      <c r="U92" s="20">
        <f t="shared" si="4"/>
        <v>0</v>
      </c>
      <c r="V92" s="4"/>
      <c r="W92" s="4"/>
    </row>
    <row r="93" spans="7:23" ht="15.75" thickBot="1">
      <c r="G93" s="739"/>
      <c r="H93" s="741"/>
      <c r="I93" s="743"/>
      <c r="J93" s="743"/>
      <c r="K93" s="743"/>
      <c r="L93" s="745"/>
      <c r="M93" s="745"/>
      <c r="O93" s="13">
        <v>12</v>
      </c>
      <c r="P93" s="99">
        <v>6</v>
      </c>
      <c r="Q93" s="78">
        <f t="shared" si="5"/>
        <v>72</v>
      </c>
      <c r="S93" s="4">
        <v>0</v>
      </c>
      <c r="T93" s="4">
        <v>0</v>
      </c>
      <c r="U93" s="20">
        <f t="shared" si="4"/>
        <v>0</v>
      </c>
      <c r="V93" s="4"/>
      <c r="W93" s="4"/>
    </row>
    <row r="94" spans="7:23" ht="15.75" thickBot="1">
      <c r="G94" s="62">
        <v>1</v>
      </c>
      <c r="H94" s="149" t="s">
        <v>90</v>
      </c>
      <c r="I94" s="144">
        <v>8006</v>
      </c>
      <c r="J94" s="62">
        <v>48</v>
      </c>
      <c r="K94" s="62" t="s">
        <v>220</v>
      </c>
      <c r="L94" s="59" t="s">
        <v>221</v>
      </c>
      <c r="M94" s="59">
        <f>+G94*J94</f>
        <v>48</v>
      </c>
      <c r="O94" s="4">
        <v>8</v>
      </c>
      <c r="P94" s="4">
        <v>6</v>
      </c>
      <c r="Q94" s="96">
        <f t="shared" si="5"/>
        <v>48</v>
      </c>
      <c r="R94" s="10"/>
      <c r="S94" s="4">
        <v>0</v>
      </c>
      <c r="T94" s="4">
        <v>0</v>
      </c>
      <c r="U94" s="20">
        <f t="shared" si="4"/>
        <v>0</v>
      </c>
      <c r="V94" s="4"/>
      <c r="W94" s="4"/>
    </row>
    <row r="95" spans="7:23" ht="15.75" thickBot="1">
      <c r="G95" s="85">
        <v>1</v>
      </c>
      <c r="H95" s="147" t="s">
        <v>92</v>
      </c>
      <c r="I95" s="84">
        <v>8016</v>
      </c>
      <c r="J95" s="85">
        <v>72</v>
      </c>
      <c r="K95" s="85" t="s">
        <v>220</v>
      </c>
      <c r="L95" s="80" t="s">
        <v>221</v>
      </c>
      <c r="M95" s="80">
        <f>+G95*J95</f>
        <v>72</v>
      </c>
      <c r="O95" s="36">
        <v>12</v>
      </c>
      <c r="P95" s="36">
        <v>6</v>
      </c>
      <c r="Q95" s="77">
        <f>O95*P95</f>
        <v>72</v>
      </c>
      <c r="R95" s="10"/>
      <c r="S95" s="4">
        <v>0</v>
      </c>
      <c r="T95" s="4">
        <v>0</v>
      </c>
      <c r="U95" s="20">
        <f t="shared" si="4"/>
        <v>0</v>
      </c>
      <c r="V95" s="4"/>
      <c r="W95" s="4"/>
    </row>
    <row r="96" spans="7:23">
      <c r="G96" s="738">
        <v>1</v>
      </c>
      <c r="H96" s="740" t="s">
        <v>93</v>
      </c>
      <c r="I96" s="742">
        <v>8024</v>
      </c>
      <c r="J96" s="742" t="s">
        <v>219</v>
      </c>
      <c r="K96" s="742" t="s">
        <v>220</v>
      </c>
      <c r="L96" s="744" t="s">
        <v>221</v>
      </c>
      <c r="M96" s="744">
        <v>264</v>
      </c>
      <c r="O96" s="252">
        <v>12</v>
      </c>
      <c r="P96" s="122">
        <v>5</v>
      </c>
      <c r="Q96" s="253">
        <f t="shared" ref="Q96:Q111" si="6">O96*P96</f>
        <v>60</v>
      </c>
      <c r="R96" s="10"/>
      <c r="S96" s="4">
        <v>0</v>
      </c>
      <c r="T96" s="4">
        <v>0</v>
      </c>
      <c r="U96" s="20">
        <f t="shared" si="4"/>
        <v>0</v>
      </c>
      <c r="V96" s="4"/>
      <c r="W96" s="4"/>
    </row>
    <row r="97" spans="7:23">
      <c r="G97" s="739"/>
      <c r="H97" s="741"/>
      <c r="I97" s="743"/>
      <c r="J97" s="743"/>
      <c r="K97" s="743"/>
      <c r="L97" s="745"/>
      <c r="M97" s="745"/>
      <c r="O97" s="42">
        <v>12</v>
      </c>
      <c r="P97" s="95">
        <v>6</v>
      </c>
      <c r="Q97" s="96">
        <f t="shared" si="6"/>
        <v>72</v>
      </c>
      <c r="S97" s="4">
        <v>0</v>
      </c>
      <c r="T97" s="4">
        <v>0</v>
      </c>
      <c r="U97" s="20">
        <f t="shared" si="4"/>
        <v>0</v>
      </c>
      <c r="V97" s="4"/>
      <c r="W97" s="4"/>
    </row>
    <row r="98" spans="7:23">
      <c r="G98" s="739"/>
      <c r="H98" s="741"/>
      <c r="I98" s="743"/>
      <c r="J98" s="743"/>
      <c r="K98" s="743"/>
      <c r="L98" s="745"/>
      <c r="M98" s="745"/>
      <c r="O98" s="42">
        <v>12</v>
      </c>
      <c r="P98" s="95">
        <v>5</v>
      </c>
      <c r="Q98" s="96">
        <f t="shared" si="6"/>
        <v>60</v>
      </c>
      <c r="S98" s="4">
        <v>0</v>
      </c>
      <c r="T98" s="4">
        <v>0</v>
      </c>
      <c r="U98" s="20">
        <f t="shared" si="4"/>
        <v>0</v>
      </c>
      <c r="V98" s="4"/>
      <c r="W98" s="4"/>
    </row>
    <row r="99" spans="7:23" ht="15.75" thickBot="1">
      <c r="G99" s="779"/>
      <c r="H99" s="735"/>
      <c r="I99" s="733"/>
      <c r="J99" s="733"/>
      <c r="K99" s="733"/>
      <c r="L99" s="737"/>
      <c r="M99" s="737"/>
      <c r="O99" s="42">
        <v>12</v>
      </c>
      <c r="P99" s="95">
        <v>6</v>
      </c>
      <c r="Q99" s="97">
        <f t="shared" si="6"/>
        <v>72</v>
      </c>
      <c r="S99" s="4">
        <v>0</v>
      </c>
      <c r="T99" s="4">
        <v>0</v>
      </c>
      <c r="U99" s="20">
        <f t="shared" si="4"/>
        <v>0</v>
      </c>
      <c r="V99" s="4"/>
      <c r="W99" s="4"/>
    </row>
    <row r="100" spans="7:23">
      <c r="G100" s="720">
        <v>3</v>
      </c>
      <c r="H100" s="710" t="s">
        <v>237</v>
      </c>
      <c r="I100" s="711">
        <v>8013</v>
      </c>
      <c r="J100" s="711" t="s">
        <v>219</v>
      </c>
      <c r="K100" s="711" t="s">
        <v>220</v>
      </c>
      <c r="L100" s="685" t="s">
        <v>221</v>
      </c>
      <c r="M100" s="744">
        <v>264</v>
      </c>
      <c r="O100" s="252">
        <v>12</v>
      </c>
      <c r="P100" s="122">
        <v>5</v>
      </c>
      <c r="Q100" s="253">
        <f t="shared" si="6"/>
        <v>60</v>
      </c>
      <c r="R100" s="10"/>
      <c r="S100" s="4">
        <v>0</v>
      </c>
      <c r="T100" s="4">
        <v>0</v>
      </c>
      <c r="U100" s="20">
        <f t="shared" si="4"/>
        <v>0</v>
      </c>
      <c r="V100" s="4"/>
      <c r="W100" s="4"/>
    </row>
    <row r="101" spans="7:23">
      <c r="G101" s="721"/>
      <c r="H101" s="702"/>
      <c r="I101" s="704"/>
      <c r="J101" s="704"/>
      <c r="K101" s="704"/>
      <c r="L101" s="686"/>
      <c r="M101" s="745"/>
      <c r="O101" s="42">
        <v>12</v>
      </c>
      <c r="P101" s="95">
        <v>6</v>
      </c>
      <c r="Q101" s="96">
        <f t="shared" si="6"/>
        <v>72</v>
      </c>
      <c r="R101" s="10"/>
      <c r="S101" s="4">
        <v>0</v>
      </c>
      <c r="T101" s="4">
        <v>0</v>
      </c>
      <c r="U101" s="20">
        <f t="shared" si="4"/>
        <v>0</v>
      </c>
      <c r="V101" s="4"/>
      <c r="W101" s="4"/>
    </row>
    <row r="102" spans="7:23">
      <c r="G102" s="721"/>
      <c r="H102" s="702"/>
      <c r="I102" s="704"/>
      <c r="J102" s="704"/>
      <c r="K102" s="704"/>
      <c r="L102" s="686"/>
      <c r="M102" s="745"/>
      <c r="O102" s="42">
        <v>12</v>
      </c>
      <c r="P102" s="95">
        <v>5</v>
      </c>
      <c r="Q102" s="96">
        <f t="shared" si="6"/>
        <v>60</v>
      </c>
      <c r="R102" s="10"/>
      <c r="S102" s="4">
        <v>0</v>
      </c>
      <c r="T102" s="4">
        <v>0</v>
      </c>
      <c r="U102" s="20">
        <f t="shared" si="4"/>
        <v>0</v>
      </c>
      <c r="V102" s="4"/>
      <c r="W102" s="4"/>
    </row>
    <row r="103" spans="7:23" ht="15.75" thickBot="1">
      <c r="G103" s="722"/>
      <c r="H103" s="703"/>
      <c r="I103" s="705"/>
      <c r="J103" s="705"/>
      <c r="K103" s="705"/>
      <c r="L103" s="687"/>
      <c r="M103" s="737"/>
      <c r="O103" s="13">
        <v>12</v>
      </c>
      <c r="P103" s="99">
        <v>6</v>
      </c>
      <c r="Q103" s="78">
        <f t="shared" si="6"/>
        <v>72</v>
      </c>
      <c r="R103" s="10"/>
      <c r="S103" s="4">
        <v>0</v>
      </c>
      <c r="T103" s="4">
        <v>0</v>
      </c>
      <c r="U103" s="20">
        <f t="shared" si="4"/>
        <v>0</v>
      </c>
      <c r="V103" s="4"/>
      <c r="W103" s="4"/>
    </row>
    <row r="104" spans="7:23">
      <c r="G104" s="738">
        <v>2</v>
      </c>
      <c r="H104" s="740" t="s">
        <v>94</v>
      </c>
      <c r="I104" s="742">
        <v>8007</v>
      </c>
      <c r="J104" s="742" t="s">
        <v>219</v>
      </c>
      <c r="K104" s="742" t="s">
        <v>220</v>
      </c>
      <c r="L104" s="744" t="s">
        <v>221</v>
      </c>
      <c r="M104" s="744">
        <v>264</v>
      </c>
      <c r="O104" s="252">
        <v>12</v>
      </c>
      <c r="P104" s="122">
        <v>5</v>
      </c>
      <c r="Q104" s="253">
        <f t="shared" si="6"/>
        <v>60</v>
      </c>
      <c r="R104" s="10"/>
      <c r="S104" s="4">
        <v>0</v>
      </c>
      <c r="T104" s="4">
        <v>0</v>
      </c>
      <c r="U104" s="20">
        <f t="shared" si="4"/>
        <v>0</v>
      </c>
      <c r="V104" s="4"/>
      <c r="W104" s="4"/>
    </row>
    <row r="105" spans="7:23">
      <c r="G105" s="739"/>
      <c r="H105" s="741"/>
      <c r="I105" s="743"/>
      <c r="J105" s="743"/>
      <c r="K105" s="743"/>
      <c r="L105" s="745"/>
      <c r="M105" s="745"/>
      <c r="O105" s="42">
        <v>12</v>
      </c>
      <c r="P105" s="95">
        <v>6</v>
      </c>
      <c r="Q105" s="96">
        <f t="shared" si="6"/>
        <v>72</v>
      </c>
      <c r="S105" s="4">
        <v>0</v>
      </c>
      <c r="T105" s="4">
        <v>0</v>
      </c>
      <c r="U105" s="20">
        <f t="shared" si="4"/>
        <v>0</v>
      </c>
      <c r="V105" s="4"/>
      <c r="W105" s="4"/>
    </row>
    <row r="106" spans="7:23">
      <c r="G106" s="739"/>
      <c r="H106" s="741"/>
      <c r="I106" s="743"/>
      <c r="J106" s="743"/>
      <c r="K106" s="743"/>
      <c r="L106" s="745"/>
      <c r="M106" s="745"/>
      <c r="O106" s="42">
        <v>12</v>
      </c>
      <c r="P106" s="95">
        <v>5</v>
      </c>
      <c r="Q106" s="96">
        <f t="shared" si="6"/>
        <v>60</v>
      </c>
      <c r="S106" s="4">
        <v>0</v>
      </c>
      <c r="T106" s="4">
        <v>0</v>
      </c>
      <c r="U106" s="20">
        <f t="shared" si="4"/>
        <v>0</v>
      </c>
      <c r="V106" s="4"/>
      <c r="W106" s="4"/>
    </row>
    <row r="107" spans="7:23" ht="15.75" thickBot="1">
      <c r="G107" s="764"/>
      <c r="H107" s="747"/>
      <c r="I107" s="746"/>
      <c r="J107" s="746"/>
      <c r="K107" s="746"/>
      <c r="L107" s="748"/>
      <c r="M107" s="748"/>
      <c r="O107" s="13">
        <v>12</v>
      </c>
      <c r="P107" s="99">
        <v>6</v>
      </c>
      <c r="Q107" s="78">
        <f t="shared" si="6"/>
        <v>72</v>
      </c>
      <c r="S107" s="4">
        <v>0</v>
      </c>
      <c r="T107" s="4">
        <v>0</v>
      </c>
      <c r="U107" s="20">
        <f t="shared" si="4"/>
        <v>0</v>
      </c>
      <c r="V107" s="4"/>
      <c r="W107" s="4"/>
    </row>
    <row r="108" spans="7:23">
      <c r="G108" s="738">
        <v>1</v>
      </c>
      <c r="H108" s="740" t="s">
        <v>94</v>
      </c>
      <c r="I108" s="742">
        <v>8008</v>
      </c>
      <c r="J108" s="742">
        <v>66.5</v>
      </c>
      <c r="K108" s="742" t="s">
        <v>220</v>
      </c>
      <c r="L108" s="744" t="s">
        <v>221</v>
      </c>
      <c r="M108" s="744">
        <f>+J108</f>
        <v>66.5</v>
      </c>
      <c r="O108" s="224">
        <v>12</v>
      </c>
      <c r="P108" s="301">
        <v>3</v>
      </c>
      <c r="Q108" s="302">
        <f t="shared" si="6"/>
        <v>36</v>
      </c>
      <c r="S108" s="4">
        <v>0</v>
      </c>
      <c r="T108" s="4">
        <v>0</v>
      </c>
      <c r="U108" s="20">
        <f t="shared" si="4"/>
        <v>0</v>
      </c>
      <c r="V108" s="4"/>
      <c r="W108" s="4"/>
    </row>
    <row r="109" spans="7:23">
      <c r="G109" s="739"/>
      <c r="H109" s="741"/>
      <c r="I109" s="743"/>
      <c r="J109" s="743"/>
      <c r="K109" s="743"/>
      <c r="L109" s="745"/>
      <c r="M109" s="745"/>
      <c r="O109" s="80">
        <v>12.5</v>
      </c>
      <c r="P109" s="150">
        <v>1</v>
      </c>
      <c r="Q109" s="102">
        <f t="shared" si="6"/>
        <v>12.5</v>
      </c>
      <c r="S109" s="4">
        <v>0</v>
      </c>
      <c r="T109" s="4">
        <v>0</v>
      </c>
      <c r="U109" s="20">
        <f t="shared" si="4"/>
        <v>0</v>
      </c>
      <c r="V109" s="4"/>
      <c r="W109" s="4"/>
    </row>
    <row r="110" spans="7:23">
      <c r="G110" s="739"/>
      <c r="H110" s="741"/>
      <c r="I110" s="743"/>
      <c r="J110" s="743"/>
      <c r="K110" s="743"/>
      <c r="L110" s="745"/>
      <c r="M110" s="745"/>
      <c r="O110" s="187">
        <v>10</v>
      </c>
      <c r="P110" s="188">
        <v>1</v>
      </c>
      <c r="Q110" s="189">
        <f t="shared" si="6"/>
        <v>10</v>
      </c>
      <c r="S110" s="4">
        <v>0</v>
      </c>
      <c r="T110" s="4">
        <v>0</v>
      </c>
      <c r="U110" s="20">
        <f t="shared" si="4"/>
        <v>0</v>
      </c>
      <c r="V110" s="4"/>
      <c r="W110" s="4"/>
    </row>
    <row r="111" spans="7:23" ht="15.75" thickBot="1">
      <c r="G111" s="764"/>
      <c r="H111" s="747"/>
      <c r="I111" s="746"/>
      <c r="J111" s="746"/>
      <c r="K111" s="746"/>
      <c r="L111" s="748"/>
      <c r="M111" s="748"/>
      <c r="O111" s="59">
        <v>8</v>
      </c>
      <c r="P111" s="303">
        <v>1</v>
      </c>
      <c r="Q111" s="81">
        <f t="shared" si="6"/>
        <v>8</v>
      </c>
      <c r="S111" s="4">
        <v>0</v>
      </c>
      <c r="T111" s="4">
        <v>0</v>
      </c>
      <c r="U111" s="20">
        <f t="shared" si="4"/>
        <v>0</v>
      </c>
      <c r="V111" s="4"/>
      <c r="W111" s="4"/>
    </row>
    <row r="112" spans="7:23">
      <c r="G112" s="34">
        <v>2</v>
      </c>
      <c r="H112" s="153" t="s">
        <v>95</v>
      </c>
      <c r="I112" s="72">
        <v>8015</v>
      </c>
      <c r="J112" s="34">
        <v>60</v>
      </c>
      <c r="K112" s="43" t="s">
        <v>220</v>
      </c>
      <c r="L112" s="24" t="s">
        <v>221</v>
      </c>
      <c r="M112" s="42">
        <v>60</v>
      </c>
      <c r="O112" s="7">
        <v>12</v>
      </c>
      <c r="P112" s="7">
        <v>5</v>
      </c>
      <c r="Q112" s="79">
        <f>O112*P112</f>
        <v>60</v>
      </c>
      <c r="R112" s="10"/>
      <c r="S112" s="4">
        <v>0</v>
      </c>
      <c r="T112" s="4">
        <v>0</v>
      </c>
      <c r="U112" s="20">
        <f t="shared" si="4"/>
        <v>0</v>
      </c>
      <c r="V112" s="4"/>
      <c r="W112" s="4"/>
    </row>
    <row r="113" spans="7:23" ht="15.75" thickBot="1">
      <c r="G113" s="296">
        <v>1</v>
      </c>
      <c r="H113" s="154" t="s">
        <v>95</v>
      </c>
      <c r="I113" s="83">
        <v>8015</v>
      </c>
      <c r="J113" s="296">
        <v>48</v>
      </c>
      <c r="K113" s="85" t="s">
        <v>220</v>
      </c>
      <c r="L113" s="42" t="s">
        <v>221</v>
      </c>
      <c r="M113" s="42">
        <v>48</v>
      </c>
      <c r="O113" s="36">
        <v>12</v>
      </c>
      <c r="P113" s="36">
        <v>4</v>
      </c>
      <c r="Q113" s="77">
        <f>O113*P113</f>
        <v>48</v>
      </c>
      <c r="R113" s="10"/>
      <c r="S113" s="4">
        <v>0</v>
      </c>
      <c r="T113" s="4">
        <v>0</v>
      </c>
      <c r="U113" s="20">
        <f t="shared" si="4"/>
        <v>0</v>
      </c>
      <c r="V113" s="4"/>
      <c r="W113" s="4"/>
    </row>
    <row r="114" spans="7:23">
      <c r="G114" s="720">
        <v>1</v>
      </c>
      <c r="H114" s="751" t="s">
        <v>96</v>
      </c>
      <c r="I114" s="221">
        <v>8015</v>
      </c>
      <c r="J114" s="711">
        <v>65.5</v>
      </c>
      <c r="K114" s="711" t="s">
        <v>220</v>
      </c>
      <c r="L114" s="685" t="s">
        <v>221</v>
      </c>
      <c r="M114" s="685">
        <f>+J114</f>
        <v>65.5</v>
      </c>
      <c r="O114" s="252">
        <v>12</v>
      </c>
      <c r="P114" s="252">
        <v>5</v>
      </c>
      <c r="Q114" s="302">
        <f>O114*P114</f>
        <v>60</v>
      </c>
      <c r="R114" s="10"/>
      <c r="S114" s="4">
        <v>0</v>
      </c>
      <c r="T114" s="4">
        <v>0</v>
      </c>
      <c r="U114" s="20">
        <f t="shared" si="4"/>
        <v>0</v>
      </c>
      <c r="V114" s="4"/>
      <c r="W114" s="4"/>
    </row>
    <row r="115" spans="7:23" ht="15.75" thickBot="1">
      <c r="G115" s="722"/>
      <c r="H115" s="752"/>
      <c r="I115" s="62"/>
      <c r="J115" s="705"/>
      <c r="K115" s="705"/>
      <c r="L115" s="687"/>
      <c r="M115" s="687"/>
      <c r="O115" s="5">
        <v>5.5</v>
      </c>
      <c r="P115" s="5">
        <v>1</v>
      </c>
      <c r="Q115" s="78">
        <f>O115*P115</f>
        <v>5.5</v>
      </c>
      <c r="R115" s="10"/>
      <c r="S115" s="4">
        <v>0</v>
      </c>
      <c r="T115" s="4">
        <v>0</v>
      </c>
      <c r="U115" s="20">
        <f t="shared" si="4"/>
        <v>0</v>
      </c>
      <c r="V115" s="4"/>
      <c r="W115" s="4"/>
    </row>
    <row r="116" spans="7:23">
      <c r="G116" s="226">
        <v>2</v>
      </c>
      <c r="H116" s="710" t="s">
        <v>228</v>
      </c>
      <c r="I116" s="711">
        <v>8015</v>
      </c>
      <c r="J116" s="190">
        <v>60</v>
      </c>
      <c r="K116" s="711" t="s">
        <v>220</v>
      </c>
      <c r="L116" s="685" t="s">
        <v>221</v>
      </c>
      <c r="M116" s="685">
        <v>264</v>
      </c>
      <c r="O116" s="252">
        <v>12</v>
      </c>
      <c r="P116" s="124">
        <v>5</v>
      </c>
      <c r="Q116" s="253">
        <f t="shared" ref="Q116:Q140" si="7">O116*P116</f>
        <v>60</v>
      </c>
      <c r="R116" s="10"/>
      <c r="S116" s="4">
        <v>0</v>
      </c>
      <c r="T116" s="4">
        <v>0</v>
      </c>
      <c r="U116" s="20">
        <f t="shared" si="4"/>
        <v>0</v>
      </c>
      <c r="V116" s="4"/>
      <c r="W116" s="4"/>
    </row>
    <row r="117" spans="7:23" ht="15.75" thickBot="1">
      <c r="G117" s="32">
        <v>1</v>
      </c>
      <c r="H117" s="703"/>
      <c r="I117" s="705"/>
      <c r="J117" s="33">
        <v>48</v>
      </c>
      <c r="K117" s="705"/>
      <c r="L117" s="687"/>
      <c r="M117" s="687"/>
      <c r="O117" s="42">
        <v>12</v>
      </c>
      <c r="P117" s="95">
        <v>4</v>
      </c>
      <c r="Q117" s="96">
        <f t="shared" si="7"/>
        <v>48</v>
      </c>
      <c r="S117" s="4">
        <v>0</v>
      </c>
      <c r="T117" s="4">
        <v>0</v>
      </c>
      <c r="U117" s="20">
        <f t="shared" si="4"/>
        <v>0</v>
      </c>
      <c r="V117" s="4"/>
      <c r="W117" s="4"/>
    </row>
    <row r="118" spans="7:23">
      <c r="G118" s="226">
        <v>2</v>
      </c>
      <c r="H118" s="710" t="s">
        <v>229</v>
      </c>
      <c r="I118" s="711">
        <v>8015</v>
      </c>
      <c r="J118" s="190">
        <v>60</v>
      </c>
      <c r="K118" s="711" t="s">
        <v>220</v>
      </c>
      <c r="L118" s="685" t="s">
        <v>221</v>
      </c>
      <c r="M118" s="685">
        <v>264</v>
      </c>
      <c r="O118" s="252">
        <v>12</v>
      </c>
      <c r="P118" s="124">
        <v>5</v>
      </c>
      <c r="Q118" s="253">
        <f t="shared" si="7"/>
        <v>60</v>
      </c>
      <c r="S118" s="4">
        <v>0</v>
      </c>
      <c r="T118" s="4">
        <v>0</v>
      </c>
      <c r="U118" s="20">
        <f t="shared" si="4"/>
        <v>0</v>
      </c>
      <c r="V118" s="4"/>
      <c r="W118" s="4"/>
    </row>
    <row r="119" spans="7:23" ht="15.75" thickBot="1">
      <c r="G119" s="32">
        <v>1</v>
      </c>
      <c r="H119" s="703"/>
      <c r="I119" s="705"/>
      <c r="J119" s="33">
        <v>48</v>
      </c>
      <c r="K119" s="705"/>
      <c r="L119" s="687"/>
      <c r="M119" s="687"/>
      <c r="O119" s="24">
        <v>12</v>
      </c>
      <c r="P119" s="98">
        <v>6</v>
      </c>
      <c r="Q119" s="96">
        <f t="shared" si="7"/>
        <v>72</v>
      </c>
      <c r="S119" s="4">
        <v>0</v>
      </c>
      <c r="T119" s="4">
        <v>0</v>
      </c>
      <c r="U119" s="20">
        <f t="shared" si="4"/>
        <v>0</v>
      </c>
      <c r="V119" s="4"/>
      <c r="W119" s="4"/>
    </row>
    <row r="120" spans="7:23">
      <c r="G120" s="226">
        <v>2</v>
      </c>
      <c r="H120" s="710" t="s">
        <v>386</v>
      </c>
      <c r="I120" s="711">
        <v>8015</v>
      </c>
      <c r="J120" s="190">
        <v>60</v>
      </c>
      <c r="K120" s="711" t="s">
        <v>220</v>
      </c>
      <c r="L120" s="685" t="s">
        <v>221</v>
      </c>
      <c r="M120" s="685">
        <v>264</v>
      </c>
      <c r="O120" s="252">
        <v>12</v>
      </c>
      <c r="P120" s="124">
        <v>5</v>
      </c>
      <c r="Q120" s="253">
        <f t="shared" si="7"/>
        <v>60</v>
      </c>
      <c r="R120" s="10"/>
      <c r="S120" s="4">
        <v>0</v>
      </c>
      <c r="T120" s="4">
        <v>0</v>
      </c>
      <c r="U120" s="20">
        <f t="shared" si="4"/>
        <v>0</v>
      </c>
      <c r="V120" s="4"/>
      <c r="W120" s="4"/>
    </row>
    <row r="121" spans="7:23" ht="15.75" thickBot="1">
      <c r="G121" s="32">
        <v>1</v>
      </c>
      <c r="H121" s="703"/>
      <c r="I121" s="705"/>
      <c r="J121" s="33">
        <v>48</v>
      </c>
      <c r="K121" s="705"/>
      <c r="L121" s="687"/>
      <c r="M121" s="687"/>
      <c r="O121" s="42">
        <v>12</v>
      </c>
      <c r="P121" s="95">
        <v>4</v>
      </c>
      <c r="Q121" s="96">
        <f t="shared" si="7"/>
        <v>48</v>
      </c>
      <c r="S121" s="4">
        <v>0</v>
      </c>
      <c r="T121" s="4">
        <v>0</v>
      </c>
      <c r="U121" s="20">
        <f t="shared" si="4"/>
        <v>0</v>
      </c>
      <c r="V121" s="4"/>
      <c r="W121" s="4"/>
    </row>
    <row r="122" spans="7:23">
      <c r="G122" s="716">
        <v>5</v>
      </c>
      <c r="H122" s="685" t="s">
        <v>308</v>
      </c>
      <c r="I122" s="749" t="s">
        <v>347</v>
      </c>
      <c r="J122" s="712" t="s">
        <v>219</v>
      </c>
      <c r="K122" s="712" t="s">
        <v>348</v>
      </c>
      <c r="L122" s="685" t="s">
        <v>221</v>
      </c>
      <c r="M122" s="781">
        <v>264</v>
      </c>
      <c r="O122" s="252">
        <v>12</v>
      </c>
      <c r="P122" s="122">
        <v>5</v>
      </c>
      <c r="Q122" s="253">
        <f t="shared" si="7"/>
        <v>60</v>
      </c>
      <c r="S122" s="4">
        <v>0</v>
      </c>
      <c r="T122" s="4">
        <v>0</v>
      </c>
      <c r="U122" s="20">
        <f t="shared" si="4"/>
        <v>0</v>
      </c>
      <c r="V122" s="4"/>
      <c r="W122" s="4"/>
    </row>
    <row r="123" spans="7:23">
      <c r="G123" s="717"/>
      <c r="H123" s="686"/>
      <c r="I123" s="784"/>
      <c r="J123" s="693"/>
      <c r="K123" s="693"/>
      <c r="L123" s="686"/>
      <c r="M123" s="782"/>
      <c r="O123" s="42">
        <v>12</v>
      </c>
      <c r="P123" s="95">
        <v>6</v>
      </c>
      <c r="Q123" s="96">
        <f t="shared" si="7"/>
        <v>72</v>
      </c>
      <c r="S123" s="4">
        <v>0</v>
      </c>
      <c r="T123" s="4">
        <v>0</v>
      </c>
      <c r="U123" s="20">
        <f t="shared" si="4"/>
        <v>0</v>
      </c>
      <c r="V123" s="4"/>
      <c r="W123" s="4"/>
    </row>
    <row r="124" spans="7:23">
      <c r="G124" s="717"/>
      <c r="H124" s="686"/>
      <c r="I124" s="784"/>
      <c r="J124" s="693"/>
      <c r="K124" s="693"/>
      <c r="L124" s="686"/>
      <c r="M124" s="782"/>
      <c r="O124" s="42">
        <v>12</v>
      </c>
      <c r="P124" s="95">
        <v>5</v>
      </c>
      <c r="Q124" s="96">
        <f t="shared" si="7"/>
        <v>60</v>
      </c>
      <c r="S124" s="4">
        <v>0</v>
      </c>
      <c r="T124" s="4">
        <v>0</v>
      </c>
      <c r="U124" s="20">
        <f t="shared" si="4"/>
        <v>0</v>
      </c>
      <c r="V124" s="4"/>
      <c r="W124" s="4"/>
    </row>
    <row r="125" spans="7:23" ht="15.75" thickBot="1">
      <c r="G125" s="780"/>
      <c r="H125" s="687"/>
      <c r="I125" s="750"/>
      <c r="J125" s="706"/>
      <c r="K125" s="706"/>
      <c r="L125" s="687"/>
      <c r="M125" s="783"/>
      <c r="O125" s="13">
        <v>12</v>
      </c>
      <c r="P125" s="99">
        <v>6</v>
      </c>
      <c r="Q125" s="78">
        <f t="shared" si="7"/>
        <v>72</v>
      </c>
      <c r="S125" s="4">
        <v>0</v>
      </c>
      <c r="T125" s="4">
        <v>0</v>
      </c>
      <c r="U125" s="20">
        <f t="shared" si="4"/>
        <v>0</v>
      </c>
      <c r="V125" s="4"/>
      <c r="W125" s="4"/>
    </row>
    <row r="126" spans="7:23">
      <c r="G126" s="720">
        <v>1</v>
      </c>
      <c r="H126" s="685" t="s">
        <v>308</v>
      </c>
      <c r="I126" s="749" t="s">
        <v>347</v>
      </c>
      <c r="J126" s="711">
        <v>57</v>
      </c>
      <c r="K126" s="712" t="s">
        <v>348</v>
      </c>
      <c r="L126" s="685" t="s">
        <v>221</v>
      </c>
      <c r="M126" s="685">
        <f>+G126*J126</f>
        <v>57</v>
      </c>
      <c r="O126" s="269">
        <v>10</v>
      </c>
      <c r="P126" s="269">
        <v>5</v>
      </c>
      <c r="Q126" s="253">
        <f t="shared" si="7"/>
        <v>50</v>
      </c>
      <c r="S126" s="4">
        <v>0</v>
      </c>
      <c r="T126" s="4">
        <v>0</v>
      </c>
      <c r="U126" s="20">
        <f t="shared" si="4"/>
        <v>0</v>
      </c>
      <c r="V126" s="4"/>
      <c r="W126" s="4"/>
    </row>
    <row r="127" spans="7:23" ht="15.75" thickBot="1">
      <c r="G127" s="722"/>
      <c r="H127" s="687"/>
      <c r="I127" s="750"/>
      <c r="J127" s="705"/>
      <c r="K127" s="706"/>
      <c r="L127" s="687"/>
      <c r="M127" s="687"/>
      <c r="O127" s="101">
        <v>7</v>
      </c>
      <c r="P127" s="101">
        <v>1</v>
      </c>
      <c r="Q127" s="78">
        <f t="shared" si="7"/>
        <v>7</v>
      </c>
      <c r="S127" s="4">
        <v>0</v>
      </c>
      <c r="T127" s="4">
        <v>0</v>
      </c>
      <c r="U127" s="20">
        <f t="shared" ref="U127:U140" si="8">S127*T127</f>
        <v>0</v>
      </c>
      <c r="V127" s="4"/>
      <c r="W127" s="4"/>
    </row>
    <row r="128" spans="7:23">
      <c r="G128" s="720">
        <v>1</v>
      </c>
      <c r="H128" s="685" t="s">
        <v>349</v>
      </c>
      <c r="I128" s="749" t="s">
        <v>350</v>
      </c>
      <c r="J128" s="711">
        <v>58</v>
      </c>
      <c r="K128" s="712" t="s">
        <v>348</v>
      </c>
      <c r="L128" s="685" t="s">
        <v>221</v>
      </c>
      <c r="M128" s="685">
        <f>+G128*J128</f>
        <v>58</v>
      </c>
      <c r="O128" s="269">
        <v>10</v>
      </c>
      <c r="P128" s="269">
        <v>5</v>
      </c>
      <c r="Q128" s="253">
        <f t="shared" si="7"/>
        <v>50</v>
      </c>
      <c r="S128" s="4">
        <v>0</v>
      </c>
      <c r="T128" s="4">
        <v>0</v>
      </c>
      <c r="U128" s="20">
        <f t="shared" si="8"/>
        <v>0</v>
      </c>
      <c r="V128" s="4"/>
      <c r="W128" s="4"/>
    </row>
    <row r="129" spans="2:23" ht="15.75" thickBot="1">
      <c r="G129" s="722"/>
      <c r="H129" s="687"/>
      <c r="I129" s="750"/>
      <c r="J129" s="705"/>
      <c r="K129" s="706"/>
      <c r="L129" s="687"/>
      <c r="M129" s="687"/>
      <c r="O129" s="158">
        <v>8</v>
      </c>
      <c r="P129" s="158">
        <v>1</v>
      </c>
      <c r="Q129" s="81">
        <f t="shared" si="7"/>
        <v>8</v>
      </c>
      <c r="S129" s="4">
        <v>0</v>
      </c>
      <c r="T129" s="4">
        <v>0</v>
      </c>
      <c r="U129" s="20">
        <f t="shared" si="8"/>
        <v>0</v>
      </c>
      <c r="V129" s="4"/>
      <c r="W129" s="4"/>
    </row>
    <row r="130" spans="2:23">
      <c r="G130" s="720">
        <v>1</v>
      </c>
      <c r="H130" s="685" t="s">
        <v>351</v>
      </c>
      <c r="I130" s="749" t="s">
        <v>352</v>
      </c>
      <c r="J130" s="711">
        <v>68</v>
      </c>
      <c r="K130" s="711" t="s">
        <v>348</v>
      </c>
      <c r="L130" s="685" t="s">
        <v>221</v>
      </c>
      <c r="M130" s="685">
        <f>+G130*J130</f>
        <v>68</v>
      </c>
      <c r="O130" s="269">
        <v>11.5</v>
      </c>
      <c r="P130" s="269">
        <v>5</v>
      </c>
      <c r="Q130" s="253">
        <f t="shared" si="7"/>
        <v>57.5</v>
      </c>
      <c r="S130" s="4">
        <v>0</v>
      </c>
      <c r="T130" s="4">
        <v>0</v>
      </c>
      <c r="U130" s="20">
        <f t="shared" si="8"/>
        <v>0</v>
      </c>
      <c r="V130" s="4"/>
      <c r="W130" s="4"/>
    </row>
    <row r="131" spans="2:23" ht="15.75" thickBot="1">
      <c r="G131" s="722"/>
      <c r="H131" s="687"/>
      <c r="I131" s="750"/>
      <c r="J131" s="705"/>
      <c r="K131" s="705"/>
      <c r="L131" s="687"/>
      <c r="M131" s="687"/>
      <c r="O131" s="158">
        <v>10.5</v>
      </c>
      <c r="P131" s="158">
        <v>1</v>
      </c>
      <c r="Q131" s="81">
        <f t="shared" si="7"/>
        <v>10.5</v>
      </c>
      <c r="S131" s="4">
        <v>0</v>
      </c>
      <c r="T131" s="4">
        <v>0</v>
      </c>
      <c r="U131" s="20">
        <f t="shared" si="8"/>
        <v>0</v>
      </c>
      <c r="V131" s="4"/>
      <c r="W131" s="4"/>
    </row>
    <row r="132" spans="2:23" ht="15.75" thickBot="1">
      <c r="G132" s="84">
        <v>1</v>
      </c>
      <c r="H132" s="173" t="s">
        <v>353</v>
      </c>
      <c r="I132" s="159" t="s">
        <v>354</v>
      </c>
      <c r="J132" s="84">
        <v>62.5</v>
      </c>
      <c r="K132" s="84" t="s">
        <v>348</v>
      </c>
      <c r="L132" s="44" t="s">
        <v>221</v>
      </c>
      <c r="M132" s="156">
        <f>+G132*J132</f>
        <v>62.5</v>
      </c>
      <c r="O132" s="157">
        <v>12.5</v>
      </c>
      <c r="P132" s="157">
        <v>5</v>
      </c>
      <c r="Q132" s="157">
        <f t="shared" si="7"/>
        <v>62.5</v>
      </c>
      <c r="S132" s="4">
        <v>0</v>
      </c>
      <c r="T132" s="4">
        <v>0</v>
      </c>
      <c r="U132" s="20">
        <f t="shared" si="8"/>
        <v>0</v>
      </c>
      <c r="V132" s="4"/>
      <c r="W132" s="4"/>
    </row>
    <row r="133" spans="2:23">
      <c r="G133" s="720">
        <v>1</v>
      </c>
      <c r="H133" s="685" t="s">
        <v>355</v>
      </c>
      <c r="I133" s="749" t="s">
        <v>356</v>
      </c>
      <c r="J133" s="711">
        <v>61</v>
      </c>
      <c r="K133" s="711" t="s">
        <v>348</v>
      </c>
      <c r="L133" s="685" t="s">
        <v>221</v>
      </c>
      <c r="M133" s="685">
        <f>+G133*J133</f>
        <v>61</v>
      </c>
      <c r="O133" s="269">
        <v>10.5</v>
      </c>
      <c r="P133" s="269">
        <v>5</v>
      </c>
      <c r="Q133" s="253">
        <f t="shared" si="7"/>
        <v>52.5</v>
      </c>
      <c r="S133" s="4">
        <v>0</v>
      </c>
      <c r="T133" s="4">
        <v>0</v>
      </c>
      <c r="U133" s="20">
        <f t="shared" si="8"/>
        <v>0</v>
      </c>
      <c r="V133" s="4"/>
      <c r="W133" s="4"/>
    </row>
    <row r="134" spans="2:23" ht="15.75" thickBot="1">
      <c r="G134" s="721"/>
      <c r="H134" s="686"/>
      <c r="I134" s="784"/>
      <c r="J134" s="704"/>
      <c r="K134" s="704"/>
      <c r="L134" s="686"/>
      <c r="M134" s="687"/>
      <c r="O134" s="157">
        <v>8.5</v>
      </c>
      <c r="P134" s="157">
        <v>1</v>
      </c>
      <c r="Q134" s="102">
        <f t="shared" si="7"/>
        <v>8.5</v>
      </c>
      <c r="S134" s="4">
        <v>0</v>
      </c>
      <c r="T134" s="4">
        <v>0</v>
      </c>
      <c r="U134" s="20">
        <f t="shared" si="8"/>
        <v>0</v>
      </c>
      <c r="V134" s="4"/>
      <c r="W134" s="4"/>
    </row>
    <row r="135" spans="2:23">
      <c r="G135" s="716">
        <v>1</v>
      </c>
      <c r="H135" s="685" t="s">
        <v>357</v>
      </c>
      <c r="I135" s="749" t="s">
        <v>358</v>
      </c>
      <c r="J135" s="712">
        <v>61</v>
      </c>
      <c r="K135" s="711" t="s">
        <v>348</v>
      </c>
      <c r="L135" s="685" t="s">
        <v>221</v>
      </c>
      <c r="M135" s="685">
        <f>+G135*J135</f>
        <v>61</v>
      </c>
      <c r="O135" s="269">
        <v>10.5</v>
      </c>
      <c r="P135" s="269">
        <v>5</v>
      </c>
      <c r="Q135" s="253">
        <f t="shared" si="7"/>
        <v>52.5</v>
      </c>
      <c r="S135" s="4">
        <v>0</v>
      </c>
      <c r="T135" s="4">
        <v>0</v>
      </c>
      <c r="U135" s="20">
        <f t="shared" si="8"/>
        <v>0</v>
      </c>
      <c r="V135" s="4"/>
      <c r="W135" s="4"/>
    </row>
    <row r="136" spans="2:23" ht="15.75" thickBot="1">
      <c r="G136" s="780"/>
      <c r="H136" s="687"/>
      <c r="I136" s="750"/>
      <c r="J136" s="706"/>
      <c r="K136" s="705"/>
      <c r="L136" s="687"/>
      <c r="M136" s="687"/>
      <c r="O136" s="158">
        <v>8.5</v>
      </c>
      <c r="P136" s="158">
        <v>1</v>
      </c>
      <c r="Q136" s="81">
        <f t="shared" si="7"/>
        <v>8.5</v>
      </c>
      <c r="S136" s="4">
        <v>0</v>
      </c>
      <c r="T136" s="4">
        <v>0</v>
      </c>
      <c r="U136" s="20">
        <f t="shared" si="8"/>
        <v>0</v>
      </c>
      <c r="V136" s="4"/>
      <c r="W136" s="4"/>
    </row>
    <row r="137" spans="2:23">
      <c r="G137" s="720">
        <v>1</v>
      </c>
      <c r="H137" s="785" t="s">
        <v>359</v>
      </c>
      <c r="I137" s="749" t="s">
        <v>360</v>
      </c>
      <c r="J137" s="711">
        <v>61.5</v>
      </c>
      <c r="K137" s="711" t="s">
        <v>348</v>
      </c>
      <c r="L137" s="685" t="s">
        <v>221</v>
      </c>
      <c r="M137" s="685">
        <f>+G137*J137</f>
        <v>61.5</v>
      </c>
      <c r="O137" s="269">
        <v>12.5</v>
      </c>
      <c r="P137" s="269">
        <v>4</v>
      </c>
      <c r="Q137" s="253">
        <f t="shared" si="7"/>
        <v>50</v>
      </c>
      <c r="S137" s="4">
        <v>0</v>
      </c>
      <c r="T137" s="4">
        <v>0</v>
      </c>
      <c r="U137" s="20">
        <f t="shared" si="8"/>
        <v>0</v>
      </c>
      <c r="V137" s="4"/>
      <c r="W137" s="4"/>
    </row>
    <row r="138" spans="2:23" ht="15.75" customHeight="1" thickBot="1">
      <c r="G138" s="722"/>
      <c r="H138" s="786"/>
      <c r="I138" s="750"/>
      <c r="J138" s="705"/>
      <c r="K138" s="705"/>
      <c r="L138" s="687"/>
      <c r="M138" s="687"/>
      <c r="O138" s="158">
        <v>11.5</v>
      </c>
      <c r="P138" s="158">
        <v>1</v>
      </c>
      <c r="Q138" s="81">
        <f t="shared" si="7"/>
        <v>11.5</v>
      </c>
      <c r="S138" s="4">
        <v>0</v>
      </c>
      <c r="T138" s="4">
        <v>0</v>
      </c>
      <c r="U138" s="20">
        <f t="shared" si="8"/>
        <v>0</v>
      </c>
      <c r="V138" s="4"/>
      <c r="W138" s="4"/>
    </row>
    <row r="139" spans="2:23" ht="15.75" customHeight="1">
      <c r="G139" s="86">
        <v>1</v>
      </c>
      <c r="H139" s="31" t="s">
        <v>339</v>
      </c>
      <c r="I139" s="160" t="s">
        <v>361</v>
      </c>
      <c r="J139" s="304">
        <v>60</v>
      </c>
      <c r="K139" s="146" t="s">
        <v>348</v>
      </c>
      <c r="L139" s="7" t="s">
        <v>221</v>
      </c>
      <c r="M139" s="156">
        <f>+G139*J139</f>
        <v>60</v>
      </c>
      <c r="O139" s="79">
        <v>12</v>
      </c>
      <c r="P139" s="79">
        <v>5</v>
      </c>
      <c r="Q139" s="79">
        <f t="shared" si="7"/>
        <v>60</v>
      </c>
      <c r="S139" s="4">
        <v>0</v>
      </c>
      <c r="T139" s="4">
        <v>0</v>
      </c>
      <c r="U139" s="20">
        <f t="shared" si="8"/>
        <v>0</v>
      </c>
      <c r="V139" s="4"/>
      <c r="W139" s="4"/>
    </row>
    <row r="140" spans="2:23">
      <c r="G140" s="86">
        <v>1</v>
      </c>
      <c r="H140" s="31" t="s">
        <v>339</v>
      </c>
      <c r="I140" s="160" t="s">
        <v>361</v>
      </c>
      <c r="J140" s="304">
        <v>24</v>
      </c>
      <c r="K140" s="146" t="s">
        <v>348</v>
      </c>
      <c r="L140" s="7" t="s">
        <v>362</v>
      </c>
      <c r="M140" s="161">
        <f>+G140*J140</f>
        <v>24</v>
      </c>
      <c r="O140" s="79">
        <v>12</v>
      </c>
      <c r="P140" s="79">
        <v>2</v>
      </c>
      <c r="Q140" s="79">
        <f t="shared" si="7"/>
        <v>24</v>
      </c>
      <c r="S140" s="4">
        <v>0</v>
      </c>
      <c r="T140" s="4">
        <v>0</v>
      </c>
      <c r="U140" s="20">
        <f t="shared" si="8"/>
        <v>0</v>
      </c>
      <c r="V140" s="4"/>
      <c r="W140" s="4"/>
    </row>
    <row r="141" spans="2:23">
      <c r="G141" s="162">
        <f>SUM(G5:G140)</f>
        <v>176</v>
      </c>
      <c r="J141" s="163"/>
      <c r="M141" s="163"/>
      <c r="U141" s="164">
        <f>SUM(U5:U140)</f>
        <v>12</v>
      </c>
    </row>
    <row r="143" spans="2:23" ht="15.75" thickBot="1"/>
    <row r="144" spans="2:23" ht="15.75" thickBot="1">
      <c r="B144" s="695" t="s">
        <v>716</v>
      </c>
      <c r="C144" s="696"/>
      <c r="D144" s="696"/>
      <c r="E144" s="697"/>
      <c r="G144" s="74" t="s">
        <v>101</v>
      </c>
      <c r="H144" s="681" t="s">
        <v>717</v>
      </c>
      <c r="I144" s="682"/>
      <c r="J144" s="682"/>
      <c r="K144" s="682"/>
      <c r="L144" s="682"/>
      <c r="M144" s="683"/>
      <c r="O144" s="684" t="s">
        <v>207</v>
      </c>
      <c r="P144" s="684"/>
      <c r="Q144" s="684"/>
      <c r="R144" s="74"/>
      <c r="S144" s="684" t="s">
        <v>208</v>
      </c>
      <c r="T144" s="684"/>
      <c r="U144" s="684"/>
      <c r="V144" s="684"/>
      <c r="W144" s="684"/>
    </row>
    <row r="145" spans="2:23" ht="60.75" thickBot="1">
      <c r="B145" s="246" t="s">
        <v>49</v>
      </c>
      <c r="C145" s="247" t="s">
        <v>50</v>
      </c>
      <c r="D145" s="248" t="s">
        <v>51</v>
      </c>
      <c r="E145" s="247" t="s">
        <v>52</v>
      </c>
      <c r="G145" s="91" t="s">
        <v>209</v>
      </c>
      <c r="H145" s="91" t="s">
        <v>210</v>
      </c>
      <c r="I145" s="91" t="s">
        <v>53</v>
      </c>
      <c r="J145" s="92" t="s">
        <v>211</v>
      </c>
      <c r="K145" s="92" t="s">
        <v>212</v>
      </c>
      <c r="L145" s="92" t="s">
        <v>213</v>
      </c>
      <c r="M145" s="92" t="s">
        <v>224</v>
      </c>
      <c r="O145" s="103" t="s">
        <v>214</v>
      </c>
      <c r="P145" s="93" t="s">
        <v>215</v>
      </c>
      <c r="Q145" s="94" t="s">
        <v>216</v>
      </c>
      <c r="S145" s="75" t="s">
        <v>214</v>
      </c>
      <c r="T145" s="75" t="s">
        <v>215</v>
      </c>
      <c r="U145" s="76" t="s">
        <v>216</v>
      </c>
      <c r="V145" s="76" t="s">
        <v>217</v>
      </c>
      <c r="W145" s="76" t="s">
        <v>218</v>
      </c>
    </row>
    <row r="146" spans="2:23" ht="15.75" thickBot="1">
      <c r="B146" s="249" t="s">
        <v>54</v>
      </c>
      <c r="C146" s="105">
        <v>1</v>
      </c>
      <c r="D146" s="250" t="s">
        <v>55</v>
      </c>
      <c r="E146" s="68" t="s">
        <v>233</v>
      </c>
      <c r="G146" s="716">
        <v>1</v>
      </c>
      <c r="H146" s="710" t="s">
        <v>344</v>
      </c>
      <c r="I146" s="718">
        <v>8017</v>
      </c>
      <c r="J146" s="712" t="s">
        <v>219</v>
      </c>
      <c r="K146" s="712" t="s">
        <v>220</v>
      </c>
      <c r="L146" s="685" t="s">
        <v>221</v>
      </c>
      <c r="M146" s="685">
        <f>+Q146+Q147+Q148+Q149*G146</f>
        <v>264</v>
      </c>
      <c r="O146" s="252">
        <v>12</v>
      </c>
      <c r="P146" s="122">
        <v>5</v>
      </c>
      <c r="Q146" s="253">
        <f t="shared" ref="Q146:Q212" si="9">O146*P146</f>
        <v>60</v>
      </c>
      <c r="R146" s="10"/>
      <c r="S146" s="4">
        <v>0</v>
      </c>
      <c r="T146" s="4">
        <v>0</v>
      </c>
      <c r="U146" s="20">
        <f t="shared" ref="U146:U158" si="10">S146*T146</f>
        <v>0</v>
      </c>
      <c r="V146" s="4"/>
      <c r="W146" s="4"/>
    </row>
    <row r="147" spans="2:23">
      <c r="B147" s="106" t="s">
        <v>56</v>
      </c>
      <c r="C147" s="689">
        <v>2</v>
      </c>
      <c r="D147" s="698" t="s">
        <v>57</v>
      </c>
      <c r="E147" s="66" t="s">
        <v>58</v>
      </c>
      <c r="G147" s="717"/>
      <c r="H147" s="702"/>
      <c r="I147" s="719"/>
      <c r="J147" s="693"/>
      <c r="K147" s="693"/>
      <c r="L147" s="686"/>
      <c r="M147" s="686"/>
      <c r="O147" s="42">
        <v>12</v>
      </c>
      <c r="P147" s="95">
        <v>6</v>
      </c>
      <c r="Q147" s="96">
        <f t="shared" si="9"/>
        <v>72</v>
      </c>
      <c r="R147" s="10"/>
      <c r="S147" s="4">
        <v>0</v>
      </c>
      <c r="T147" s="4">
        <v>0</v>
      </c>
      <c r="U147" s="20">
        <f t="shared" si="10"/>
        <v>0</v>
      </c>
      <c r="V147" s="4"/>
      <c r="W147" s="4"/>
    </row>
    <row r="148" spans="2:23">
      <c r="B148" s="107" t="s">
        <v>56</v>
      </c>
      <c r="C148" s="688"/>
      <c r="D148" s="699"/>
      <c r="E148" s="25" t="s">
        <v>58</v>
      </c>
      <c r="G148" s="717"/>
      <c r="H148" s="702"/>
      <c r="I148" s="719"/>
      <c r="J148" s="693"/>
      <c r="K148" s="693"/>
      <c r="L148" s="686"/>
      <c r="M148" s="686"/>
      <c r="O148" s="42">
        <v>12</v>
      </c>
      <c r="P148" s="95">
        <v>5</v>
      </c>
      <c r="Q148" s="96">
        <f t="shared" si="9"/>
        <v>60</v>
      </c>
      <c r="R148" s="10"/>
      <c r="S148" s="4">
        <v>0</v>
      </c>
      <c r="T148" s="4">
        <v>0</v>
      </c>
      <c r="U148" s="20">
        <f t="shared" si="10"/>
        <v>0</v>
      </c>
      <c r="V148" s="4"/>
      <c r="W148" s="4"/>
    </row>
    <row r="149" spans="2:23" ht="15.75" thickBot="1">
      <c r="B149" s="107" t="s">
        <v>56</v>
      </c>
      <c r="C149" s="80">
        <v>2</v>
      </c>
      <c r="D149" s="256" t="s">
        <v>59</v>
      </c>
      <c r="E149" s="25" t="s">
        <v>58</v>
      </c>
      <c r="G149" s="717"/>
      <c r="H149" s="702"/>
      <c r="I149" s="719"/>
      <c r="J149" s="693"/>
      <c r="K149" s="693"/>
      <c r="L149" s="686"/>
      <c r="M149" s="687"/>
      <c r="O149" s="42">
        <v>12</v>
      </c>
      <c r="P149" s="95">
        <v>6</v>
      </c>
      <c r="Q149" s="97">
        <f t="shared" si="9"/>
        <v>72</v>
      </c>
      <c r="R149" s="10"/>
      <c r="S149" s="4">
        <v>0</v>
      </c>
      <c r="T149" s="4">
        <v>0</v>
      </c>
      <c r="U149" s="20">
        <f t="shared" si="10"/>
        <v>0</v>
      </c>
      <c r="V149" s="4"/>
      <c r="W149" s="4"/>
    </row>
    <row r="150" spans="2:23" ht="15.75" thickBot="1">
      <c r="B150" s="108" t="s">
        <v>56</v>
      </c>
      <c r="C150" s="13">
        <v>7</v>
      </c>
      <c r="D150" s="257" t="s">
        <v>60</v>
      </c>
      <c r="E150" s="64" t="s">
        <v>58</v>
      </c>
      <c r="G150" s="226">
        <v>1</v>
      </c>
      <c r="H150" s="258" t="s">
        <v>391</v>
      </c>
      <c r="I150" s="190">
        <v>8020</v>
      </c>
      <c r="J150" s="259">
        <v>40</v>
      </c>
      <c r="K150" s="259" t="s">
        <v>220</v>
      </c>
      <c r="L150" s="192" t="s">
        <v>221</v>
      </c>
      <c r="M150" s="192">
        <f>+G150*J150</f>
        <v>40</v>
      </c>
      <c r="O150" s="240">
        <v>5</v>
      </c>
      <c r="P150" s="240">
        <v>8</v>
      </c>
      <c r="Q150" s="253">
        <f t="shared" si="9"/>
        <v>40</v>
      </c>
      <c r="R150" s="10"/>
      <c r="S150" s="4">
        <v>0</v>
      </c>
      <c r="T150" s="4">
        <v>0</v>
      </c>
      <c r="U150" s="20">
        <f t="shared" si="10"/>
        <v>0</v>
      </c>
      <c r="V150" s="4"/>
      <c r="W150" s="4"/>
    </row>
    <row r="151" spans="2:23">
      <c r="B151" s="260" t="s">
        <v>56</v>
      </c>
      <c r="C151" s="192">
        <v>3</v>
      </c>
      <c r="D151" s="261" t="s">
        <v>60</v>
      </c>
      <c r="E151" s="262" t="s">
        <v>61</v>
      </c>
      <c r="G151" s="274">
        <v>1</v>
      </c>
      <c r="H151" s="223" t="s">
        <v>391</v>
      </c>
      <c r="I151" s="85">
        <v>8020</v>
      </c>
      <c r="J151" s="254">
        <v>56</v>
      </c>
      <c r="K151" s="86" t="s">
        <v>220</v>
      </c>
      <c r="L151" s="31" t="s">
        <v>221</v>
      </c>
      <c r="M151" s="31">
        <f>+G151*J151</f>
        <v>56</v>
      </c>
      <c r="O151" s="44"/>
      <c r="P151" s="183"/>
      <c r="Q151" s="182"/>
      <c r="R151" s="10"/>
      <c r="S151" s="4"/>
      <c r="T151" s="4"/>
      <c r="U151" s="20"/>
      <c r="V151" s="4"/>
      <c r="W151" s="4"/>
    </row>
    <row r="152" spans="2:23" ht="15.75" thickBot="1">
      <c r="B152" s="264" t="s">
        <v>62</v>
      </c>
      <c r="C152" s="24">
        <v>2</v>
      </c>
      <c r="D152" s="265" t="s">
        <v>63</v>
      </c>
      <c r="E152" s="25" t="s">
        <v>61</v>
      </c>
      <c r="G152" s="32">
        <v>1</v>
      </c>
      <c r="H152" s="186" t="s">
        <v>391</v>
      </c>
      <c r="I152" s="33">
        <v>8020</v>
      </c>
      <c r="J152" s="87">
        <v>48</v>
      </c>
      <c r="K152" s="87" t="s">
        <v>220</v>
      </c>
      <c r="L152" s="263" t="s">
        <v>221</v>
      </c>
      <c r="M152" s="13">
        <v>48</v>
      </c>
      <c r="O152" s="44">
        <v>8</v>
      </c>
      <c r="P152" s="183">
        <v>6</v>
      </c>
      <c r="Q152" s="182">
        <f t="shared" si="9"/>
        <v>48</v>
      </c>
      <c r="R152" s="10"/>
      <c r="S152" s="4">
        <v>0</v>
      </c>
      <c r="T152" s="4">
        <v>0</v>
      </c>
      <c r="U152" s="20">
        <f t="shared" si="10"/>
        <v>0</v>
      </c>
      <c r="V152" s="4"/>
      <c r="W152" s="4"/>
    </row>
    <row r="153" spans="2:23" ht="15.75" thickBot="1">
      <c r="B153" s="266" t="s">
        <v>62</v>
      </c>
      <c r="C153" s="13">
        <v>2</v>
      </c>
      <c r="D153" s="257" t="s">
        <v>64</v>
      </c>
      <c r="E153" s="64" t="s">
        <v>61</v>
      </c>
      <c r="G153" s="700">
        <v>19</v>
      </c>
      <c r="H153" s="702" t="s">
        <v>58</v>
      </c>
      <c r="I153" s="704">
        <v>8020</v>
      </c>
      <c r="J153" s="693" t="s">
        <v>219</v>
      </c>
      <c r="K153" s="693" t="s">
        <v>220</v>
      </c>
      <c r="L153" s="707" t="s">
        <v>221</v>
      </c>
      <c r="M153" s="686">
        <v>264</v>
      </c>
      <c r="O153" s="252">
        <v>12</v>
      </c>
      <c r="P153" s="122">
        <v>5</v>
      </c>
      <c r="Q153" s="253">
        <f t="shared" si="9"/>
        <v>60</v>
      </c>
      <c r="R153" s="10"/>
      <c r="S153" s="4">
        <v>0</v>
      </c>
      <c r="T153" s="4">
        <v>0</v>
      </c>
      <c r="U153" s="20">
        <f t="shared" si="10"/>
        <v>0</v>
      </c>
      <c r="V153" s="4"/>
      <c r="W153" s="4"/>
    </row>
    <row r="154" spans="2:23">
      <c r="B154" s="267" t="s">
        <v>56</v>
      </c>
      <c r="C154" s="690">
        <v>6</v>
      </c>
      <c r="D154" s="756" t="s">
        <v>60</v>
      </c>
      <c r="E154" s="262" t="s">
        <v>65</v>
      </c>
      <c r="G154" s="700"/>
      <c r="H154" s="702"/>
      <c r="I154" s="704"/>
      <c r="J154" s="693"/>
      <c r="K154" s="693"/>
      <c r="L154" s="707"/>
      <c r="M154" s="686"/>
      <c r="O154" s="42">
        <v>12</v>
      </c>
      <c r="P154" s="95">
        <v>6</v>
      </c>
      <c r="Q154" s="96">
        <f t="shared" si="9"/>
        <v>72</v>
      </c>
      <c r="R154" s="10"/>
      <c r="S154" s="4">
        <v>0</v>
      </c>
      <c r="T154" s="4">
        <v>0</v>
      </c>
      <c r="U154" s="20">
        <f t="shared" si="10"/>
        <v>0</v>
      </c>
      <c r="V154" s="4"/>
      <c r="W154" s="4"/>
    </row>
    <row r="155" spans="2:23">
      <c r="B155" s="109" t="s">
        <v>56</v>
      </c>
      <c r="C155" s="691"/>
      <c r="D155" s="757"/>
      <c r="E155" s="65" t="s">
        <v>65</v>
      </c>
      <c r="G155" s="700"/>
      <c r="H155" s="702"/>
      <c r="I155" s="704"/>
      <c r="J155" s="693"/>
      <c r="K155" s="693"/>
      <c r="L155" s="707"/>
      <c r="M155" s="686"/>
      <c r="O155" s="42">
        <v>12</v>
      </c>
      <c r="P155" s="95">
        <v>5</v>
      </c>
      <c r="Q155" s="96">
        <f t="shared" si="9"/>
        <v>60</v>
      </c>
      <c r="R155" s="10"/>
      <c r="S155" s="4">
        <v>0</v>
      </c>
      <c r="T155" s="4">
        <v>0</v>
      </c>
      <c r="U155" s="20">
        <f t="shared" si="10"/>
        <v>0</v>
      </c>
      <c r="V155" s="4"/>
      <c r="W155" s="4"/>
    </row>
    <row r="156" spans="2:23" ht="15.75" thickBot="1">
      <c r="B156" s="110" t="s">
        <v>56</v>
      </c>
      <c r="C156" s="59">
        <v>2</v>
      </c>
      <c r="D156" s="257" t="s">
        <v>66</v>
      </c>
      <c r="E156" s="69" t="s">
        <v>65</v>
      </c>
      <c r="G156" s="701"/>
      <c r="H156" s="703"/>
      <c r="I156" s="705"/>
      <c r="J156" s="706"/>
      <c r="K156" s="706"/>
      <c r="L156" s="708"/>
      <c r="M156" s="687"/>
      <c r="O156" s="42">
        <v>12</v>
      </c>
      <c r="P156" s="95">
        <v>6</v>
      </c>
      <c r="Q156" s="97">
        <f t="shared" si="9"/>
        <v>72</v>
      </c>
      <c r="R156" s="10"/>
      <c r="S156" s="4">
        <v>0</v>
      </c>
      <c r="T156" s="4">
        <v>0</v>
      </c>
      <c r="U156" s="20">
        <f t="shared" si="10"/>
        <v>0</v>
      </c>
      <c r="V156" s="4"/>
      <c r="W156" s="4"/>
    </row>
    <row r="157" spans="2:23">
      <c r="B157" s="28" t="s">
        <v>56</v>
      </c>
      <c r="C157" s="31">
        <v>1</v>
      </c>
      <c r="D157" s="255" t="s">
        <v>67</v>
      </c>
      <c r="E157" s="66" t="s">
        <v>68</v>
      </c>
      <c r="G157" s="709">
        <v>15</v>
      </c>
      <c r="H157" s="710" t="s">
        <v>61</v>
      </c>
      <c r="I157" s="711">
        <v>8019</v>
      </c>
      <c r="J157" s="712" t="s">
        <v>219</v>
      </c>
      <c r="K157" s="712" t="s">
        <v>220</v>
      </c>
      <c r="L157" s="713" t="s">
        <v>221</v>
      </c>
      <c r="M157" s="758">
        <v>264</v>
      </c>
      <c r="O157" s="252">
        <v>12</v>
      </c>
      <c r="P157" s="122">
        <v>5</v>
      </c>
      <c r="Q157" s="253">
        <f t="shared" si="9"/>
        <v>60</v>
      </c>
      <c r="R157" s="10"/>
      <c r="S157" s="268">
        <v>0</v>
      </c>
      <c r="T157" s="240">
        <v>0</v>
      </c>
      <c r="U157" s="269">
        <f t="shared" si="10"/>
        <v>0</v>
      </c>
      <c r="V157" s="240"/>
      <c r="W157" s="241"/>
    </row>
    <row r="158" spans="2:23">
      <c r="B158" s="27" t="s">
        <v>56</v>
      </c>
      <c r="C158" s="24">
        <v>1</v>
      </c>
      <c r="D158" s="265" t="s">
        <v>69</v>
      </c>
      <c r="E158" s="25" t="s">
        <v>70</v>
      </c>
      <c r="G158" s="700"/>
      <c r="H158" s="702"/>
      <c r="I158" s="704"/>
      <c r="J158" s="693"/>
      <c r="K158" s="693"/>
      <c r="L158" s="714"/>
      <c r="M158" s="759"/>
      <c r="O158" s="42">
        <v>12</v>
      </c>
      <c r="P158" s="95">
        <v>6</v>
      </c>
      <c r="Q158" s="96">
        <f t="shared" si="9"/>
        <v>72</v>
      </c>
      <c r="R158" s="10"/>
      <c r="S158" s="14">
        <v>12</v>
      </c>
      <c r="T158" s="4">
        <v>1</v>
      </c>
      <c r="U158" s="20">
        <f t="shared" si="10"/>
        <v>12</v>
      </c>
      <c r="V158" s="4" t="s">
        <v>223</v>
      </c>
      <c r="W158" s="8"/>
    </row>
    <row r="159" spans="2:23" ht="15.75" thickBot="1">
      <c r="B159" s="111" t="s">
        <v>56</v>
      </c>
      <c r="C159" s="42">
        <v>1</v>
      </c>
      <c r="D159" s="256" t="s">
        <v>232</v>
      </c>
      <c r="E159" s="67" t="s">
        <v>234</v>
      </c>
      <c r="G159" s="700"/>
      <c r="H159" s="702"/>
      <c r="I159" s="704"/>
      <c r="J159" s="693"/>
      <c r="K159" s="693"/>
      <c r="L159" s="714"/>
      <c r="M159" s="759"/>
      <c r="O159" s="42">
        <v>12</v>
      </c>
      <c r="P159" s="95">
        <v>5</v>
      </c>
      <c r="Q159" s="96">
        <f t="shared" si="9"/>
        <v>60</v>
      </c>
      <c r="R159" s="10"/>
      <c r="S159" s="14">
        <v>0</v>
      </c>
      <c r="T159" s="4">
        <v>0</v>
      </c>
      <c r="U159" s="20">
        <v>0</v>
      </c>
      <c r="V159" s="4"/>
      <c r="W159" s="8"/>
    </row>
    <row r="160" spans="2:23" ht="15.75" thickBot="1">
      <c r="B160" s="260" t="s">
        <v>56</v>
      </c>
      <c r="C160" s="192">
        <v>3</v>
      </c>
      <c r="D160" s="261" t="s">
        <v>60</v>
      </c>
      <c r="E160" s="262" t="s">
        <v>72</v>
      </c>
      <c r="G160" s="701"/>
      <c r="H160" s="703"/>
      <c r="I160" s="705"/>
      <c r="J160" s="706"/>
      <c r="K160" s="706"/>
      <c r="L160" s="715"/>
      <c r="M160" s="760"/>
      <c r="O160" s="13">
        <v>12</v>
      </c>
      <c r="P160" s="99">
        <v>6</v>
      </c>
      <c r="Q160" s="78">
        <f t="shared" si="9"/>
        <v>72</v>
      </c>
      <c r="R160" s="10"/>
      <c r="S160" s="100">
        <v>0</v>
      </c>
      <c r="T160" s="5">
        <v>0</v>
      </c>
      <c r="U160" s="101">
        <v>0</v>
      </c>
      <c r="V160" s="5"/>
      <c r="W160" s="6"/>
    </row>
    <row r="161" spans="2:23" ht="15.75" thickBot="1">
      <c r="B161" s="107" t="s">
        <v>56</v>
      </c>
      <c r="C161" s="24">
        <v>1</v>
      </c>
      <c r="D161" s="265" t="s">
        <v>73</v>
      </c>
      <c r="E161" s="25" t="s">
        <v>72</v>
      </c>
      <c r="G161" s="726">
        <v>17</v>
      </c>
      <c r="H161" s="729" t="s">
        <v>65</v>
      </c>
      <c r="I161" s="711">
        <v>8021</v>
      </c>
      <c r="J161" s="712" t="s">
        <v>219</v>
      </c>
      <c r="K161" s="712" t="s">
        <v>220</v>
      </c>
      <c r="L161" s="713" t="s">
        <v>221</v>
      </c>
      <c r="M161" s="758">
        <v>264</v>
      </c>
      <c r="O161" s="252">
        <v>12</v>
      </c>
      <c r="P161" s="122">
        <v>5</v>
      </c>
      <c r="Q161" s="253">
        <f t="shared" si="9"/>
        <v>60</v>
      </c>
      <c r="R161" s="10"/>
      <c r="S161" s="4">
        <v>0</v>
      </c>
      <c r="T161" s="4">
        <v>0</v>
      </c>
      <c r="U161" s="20">
        <f t="shared" ref="U161:U196" si="11">S161*T161</f>
        <v>0</v>
      </c>
      <c r="V161" s="4"/>
      <c r="W161" s="4"/>
    </row>
    <row r="162" spans="2:23">
      <c r="B162" s="172" t="s">
        <v>56</v>
      </c>
      <c r="C162" s="259">
        <v>7</v>
      </c>
      <c r="D162" s="259" t="s">
        <v>60</v>
      </c>
      <c r="E162" s="270" t="s">
        <v>74</v>
      </c>
      <c r="G162" s="727"/>
      <c r="H162" s="730"/>
      <c r="I162" s="704"/>
      <c r="J162" s="693"/>
      <c r="K162" s="693"/>
      <c r="L162" s="714"/>
      <c r="M162" s="759"/>
      <c r="O162" s="42">
        <v>12</v>
      </c>
      <c r="P162" s="95">
        <v>6</v>
      </c>
      <c r="Q162" s="96">
        <f t="shared" si="9"/>
        <v>72</v>
      </c>
      <c r="R162" s="10"/>
      <c r="S162" s="4">
        <v>0</v>
      </c>
      <c r="T162" s="4">
        <v>0</v>
      </c>
      <c r="U162" s="20">
        <f t="shared" si="11"/>
        <v>0</v>
      </c>
      <c r="V162" s="4"/>
      <c r="W162" s="4"/>
    </row>
    <row r="163" spans="2:23">
      <c r="B163" s="172" t="s">
        <v>56</v>
      </c>
      <c r="C163" s="86">
        <v>3</v>
      </c>
      <c r="D163" s="86" t="s">
        <v>67</v>
      </c>
      <c r="E163" s="70" t="s">
        <v>74</v>
      </c>
      <c r="G163" s="727"/>
      <c r="H163" s="730"/>
      <c r="I163" s="704"/>
      <c r="J163" s="693"/>
      <c r="K163" s="693"/>
      <c r="L163" s="714"/>
      <c r="M163" s="759"/>
      <c r="O163" s="42">
        <v>12</v>
      </c>
      <c r="P163" s="95">
        <v>5</v>
      </c>
      <c r="Q163" s="96">
        <f t="shared" si="9"/>
        <v>60</v>
      </c>
      <c r="R163" s="10"/>
      <c r="S163" s="4">
        <v>0</v>
      </c>
      <c r="T163" s="4">
        <v>0</v>
      </c>
      <c r="U163" s="20">
        <f t="shared" si="11"/>
        <v>0</v>
      </c>
      <c r="V163" s="4"/>
      <c r="W163" s="4"/>
    </row>
    <row r="164" spans="2:23" ht="15.75" thickBot="1">
      <c r="B164" s="172" t="s">
        <v>75</v>
      </c>
      <c r="C164" s="88">
        <v>1</v>
      </c>
      <c r="D164" s="88" t="s">
        <v>76</v>
      </c>
      <c r="E164" s="70" t="s">
        <v>74</v>
      </c>
      <c r="G164" s="728"/>
      <c r="H164" s="731"/>
      <c r="I164" s="705"/>
      <c r="J164" s="706"/>
      <c r="K164" s="706"/>
      <c r="L164" s="715"/>
      <c r="M164" s="760"/>
      <c r="O164" s="13">
        <v>12</v>
      </c>
      <c r="P164" s="99">
        <v>6</v>
      </c>
      <c r="Q164" s="78">
        <f t="shared" si="9"/>
        <v>72</v>
      </c>
      <c r="R164" s="10"/>
      <c r="S164" s="4">
        <v>0</v>
      </c>
      <c r="T164" s="4">
        <v>0</v>
      </c>
      <c r="U164" s="20">
        <f t="shared" si="11"/>
        <v>0</v>
      </c>
      <c r="V164" s="4"/>
      <c r="W164" s="4"/>
    </row>
    <row r="165" spans="2:23" ht="15.75" thickBot="1">
      <c r="B165" s="273" t="s">
        <v>56</v>
      </c>
      <c r="C165" s="86">
        <v>1</v>
      </c>
      <c r="D165" s="86" t="s">
        <v>222</v>
      </c>
      <c r="E165" s="70" t="s">
        <v>74</v>
      </c>
      <c r="G165" s="720">
        <v>1</v>
      </c>
      <c r="H165" s="723" t="s">
        <v>68</v>
      </c>
      <c r="I165" s="711">
        <v>8025</v>
      </c>
      <c r="J165" s="718" t="s">
        <v>227</v>
      </c>
      <c r="K165" s="711" t="s">
        <v>220</v>
      </c>
      <c r="L165" s="685" t="s">
        <v>221</v>
      </c>
      <c r="M165" s="685">
        <f>65+77+65+77</f>
        <v>284</v>
      </c>
      <c r="O165" s="271">
        <v>13</v>
      </c>
      <c r="P165" s="252">
        <v>5</v>
      </c>
      <c r="Q165" s="272">
        <f t="shared" si="9"/>
        <v>65</v>
      </c>
      <c r="R165" s="10"/>
      <c r="S165" s="4">
        <v>0</v>
      </c>
      <c r="T165" s="4">
        <v>0</v>
      </c>
      <c r="U165" s="20">
        <f t="shared" si="11"/>
        <v>0</v>
      </c>
      <c r="V165" s="4"/>
      <c r="W165" s="4"/>
    </row>
    <row r="166" spans="2:23" ht="15.75" thickBot="1">
      <c r="B166" s="275" t="s">
        <v>56</v>
      </c>
      <c r="C166" s="89">
        <v>1</v>
      </c>
      <c r="D166" s="89" t="s">
        <v>59</v>
      </c>
      <c r="E166" s="71" t="s">
        <v>74</v>
      </c>
      <c r="G166" s="721"/>
      <c r="H166" s="724"/>
      <c r="I166" s="704"/>
      <c r="J166" s="719"/>
      <c r="K166" s="704"/>
      <c r="L166" s="686"/>
      <c r="M166" s="686"/>
      <c r="O166" s="271">
        <v>13</v>
      </c>
      <c r="P166" s="252">
        <v>5</v>
      </c>
      <c r="Q166" s="272">
        <f t="shared" si="9"/>
        <v>65</v>
      </c>
      <c r="R166" s="10"/>
      <c r="S166" s="4">
        <v>0</v>
      </c>
      <c r="T166" s="4">
        <v>0</v>
      </c>
      <c r="U166" s="20">
        <f t="shared" si="11"/>
        <v>0</v>
      </c>
      <c r="V166" s="4"/>
      <c r="W166" s="4"/>
    </row>
    <row r="167" spans="2:23">
      <c r="B167" s="276" t="s">
        <v>56</v>
      </c>
      <c r="C167" s="192">
        <v>1</v>
      </c>
      <c r="D167" s="261" t="s">
        <v>60</v>
      </c>
      <c r="E167" s="262" t="s">
        <v>77</v>
      </c>
      <c r="G167" s="721"/>
      <c r="H167" s="724"/>
      <c r="I167" s="704"/>
      <c r="J167" s="719"/>
      <c r="K167" s="704"/>
      <c r="L167" s="686"/>
      <c r="M167" s="686"/>
      <c r="O167" s="14">
        <v>12</v>
      </c>
      <c r="P167" s="4">
        <v>1</v>
      </c>
      <c r="Q167" s="176">
        <f t="shared" si="9"/>
        <v>12</v>
      </c>
      <c r="R167" s="10"/>
      <c r="S167" s="4">
        <v>0</v>
      </c>
      <c r="T167" s="4">
        <v>0</v>
      </c>
      <c r="U167" s="20">
        <f t="shared" si="11"/>
        <v>0</v>
      </c>
      <c r="V167" s="4"/>
      <c r="W167" s="4"/>
    </row>
    <row r="168" spans="2:23" ht="15.75" thickBot="1">
      <c r="B168" s="277" t="s">
        <v>75</v>
      </c>
      <c r="C168" s="59">
        <v>1</v>
      </c>
      <c r="D168" s="278" t="s">
        <v>390</v>
      </c>
      <c r="E168" s="181" t="s">
        <v>77</v>
      </c>
      <c r="G168" s="721"/>
      <c r="H168" s="724"/>
      <c r="I168" s="704"/>
      <c r="J168" s="719"/>
      <c r="K168" s="704"/>
      <c r="L168" s="686"/>
      <c r="M168" s="686"/>
      <c r="O168" s="14">
        <v>13</v>
      </c>
      <c r="P168" s="4">
        <v>5</v>
      </c>
      <c r="Q168" s="175">
        <f t="shared" si="9"/>
        <v>65</v>
      </c>
      <c r="R168" s="10"/>
      <c r="S168" s="4">
        <v>0</v>
      </c>
      <c r="T168" s="4">
        <v>0</v>
      </c>
      <c r="U168" s="20">
        <f t="shared" si="11"/>
        <v>0</v>
      </c>
      <c r="V168" s="4"/>
      <c r="W168" s="4"/>
    </row>
    <row r="169" spans="2:23">
      <c r="B169" s="28" t="s">
        <v>56</v>
      </c>
      <c r="C169" s="7">
        <v>3</v>
      </c>
      <c r="D169" s="279" t="s">
        <v>78</v>
      </c>
      <c r="E169" s="66" t="s">
        <v>79</v>
      </c>
      <c r="G169" s="721"/>
      <c r="H169" s="724"/>
      <c r="I169" s="704"/>
      <c r="J169" s="719"/>
      <c r="K169" s="704"/>
      <c r="L169" s="686"/>
      <c r="M169" s="686"/>
      <c r="O169" s="177">
        <v>13</v>
      </c>
      <c r="P169" s="44">
        <v>5</v>
      </c>
      <c r="Q169" s="175">
        <f t="shared" si="9"/>
        <v>65</v>
      </c>
      <c r="R169" s="10"/>
      <c r="S169" s="4">
        <v>0</v>
      </c>
      <c r="T169" s="4">
        <v>0</v>
      </c>
      <c r="U169" s="20">
        <f t="shared" si="11"/>
        <v>0</v>
      </c>
      <c r="V169" s="4"/>
      <c r="W169" s="4"/>
    </row>
    <row r="170" spans="2:23" ht="15.75" thickBot="1">
      <c r="B170" s="111" t="s">
        <v>56</v>
      </c>
      <c r="C170" s="42">
        <v>1</v>
      </c>
      <c r="D170" s="257" t="s">
        <v>67</v>
      </c>
      <c r="E170" s="67" t="s">
        <v>80</v>
      </c>
      <c r="G170" s="722"/>
      <c r="H170" s="725"/>
      <c r="I170" s="705"/>
      <c r="J170" s="732"/>
      <c r="K170" s="705"/>
      <c r="L170" s="687"/>
      <c r="M170" s="687"/>
      <c r="O170" s="100">
        <v>12</v>
      </c>
      <c r="P170" s="5">
        <v>1</v>
      </c>
      <c r="Q170" s="90">
        <f t="shared" si="9"/>
        <v>12</v>
      </c>
      <c r="R170" s="10"/>
      <c r="S170" s="4">
        <v>0</v>
      </c>
      <c r="T170" s="4">
        <v>0</v>
      </c>
      <c r="U170" s="20">
        <f t="shared" si="11"/>
        <v>0</v>
      </c>
      <c r="V170" s="4"/>
      <c r="W170" s="4"/>
    </row>
    <row r="171" spans="2:23">
      <c r="B171" s="260" t="s">
        <v>56</v>
      </c>
      <c r="C171" s="192">
        <v>1</v>
      </c>
      <c r="D171" s="279" t="s">
        <v>78</v>
      </c>
      <c r="E171" s="281" t="s">
        <v>81</v>
      </c>
      <c r="G171" s="720">
        <v>1</v>
      </c>
      <c r="H171" s="723" t="s">
        <v>70</v>
      </c>
      <c r="I171" s="711">
        <v>8014</v>
      </c>
      <c r="J171" s="712" t="s">
        <v>219</v>
      </c>
      <c r="K171" s="712" t="s">
        <v>220</v>
      </c>
      <c r="L171" s="685" t="s">
        <v>221</v>
      </c>
      <c r="M171" s="685">
        <v>264</v>
      </c>
      <c r="O171" s="252">
        <v>12</v>
      </c>
      <c r="P171" s="122">
        <v>5</v>
      </c>
      <c r="Q171" s="253">
        <f t="shared" si="9"/>
        <v>60</v>
      </c>
      <c r="R171" s="10"/>
      <c r="S171" s="4">
        <v>0</v>
      </c>
      <c r="T171" s="4">
        <v>0</v>
      </c>
      <c r="U171" s="20">
        <f t="shared" si="11"/>
        <v>0</v>
      </c>
      <c r="V171" s="4"/>
      <c r="W171" s="4"/>
    </row>
    <row r="172" spans="2:23">
      <c r="B172" s="28" t="s">
        <v>56</v>
      </c>
      <c r="C172" s="31">
        <v>5</v>
      </c>
      <c r="D172" s="255" t="s">
        <v>60</v>
      </c>
      <c r="E172" s="66" t="s">
        <v>82</v>
      </c>
      <c r="G172" s="721"/>
      <c r="H172" s="724"/>
      <c r="I172" s="704"/>
      <c r="J172" s="693"/>
      <c r="K172" s="693"/>
      <c r="L172" s="686"/>
      <c r="M172" s="686"/>
      <c r="O172" s="42">
        <v>12</v>
      </c>
      <c r="P172" s="95">
        <v>6</v>
      </c>
      <c r="Q172" s="96">
        <f t="shared" si="9"/>
        <v>72</v>
      </c>
      <c r="R172" s="10"/>
      <c r="S172" s="4">
        <v>0</v>
      </c>
      <c r="T172" s="4">
        <v>0</v>
      </c>
      <c r="U172" s="20">
        <f t="shared" si="11"/>
        <v>0</v>
      </c>
      <c r="V172" s="4"/>
      <c r="W172" s="4"/>
    </row>
    <row r="173" spans="2:23">
      <c r="B173" s="27" t="s">
        <v>56</v>
      </c>
      <c r="C173" s="4">
        <v>1</v>
      </c>
      <c r="D173" s="282" t="s">
        <v>78</v>
      </c>
      <c r="E173" s="25" t="s">
        <v>83</v>
      </c>
      <c r="G173" s="721"/>
      <c r="H173" s="724"/>
      <c r="I173" s="704"/>
      <c r="J173" s="693"/>
      <c r="K173" s="693"/>
      <c r="L173" s="686"/>
      <c r="M173" s="686"/>
      <c r="O173" s="42">
        <v>12</v>
      </c>
      <c r="P173" s="95">
        <v>5</v>
      </c>
      <c r="Q173" s="96">
        <f t="shared" si="9"/>
        <v>60</v>
      </c>
      <c r="R173" s="10"/>
      <c r="S173" s="4">
        <v>0</v>
      </c>
      <c r="T173" s="4">
        <v>0</v>
      </c>
      <c r="U173" s="20">
        <f t="shared" si="11"/>
        <v>0</v>
      </c>
      <c r="V173" s="4"/>
      <c r="W173" s="4"/>
    </row>
    <row r="174" spans="2:23" ht="15.75" thickBot="1">
      <c r="B174" s="283" t="s">
        <v>56</v>
      </c>
      <c r="C174" s="87">
        <v>3</v>
      </c>
      <c r="D174" s="87" t="s">
        <v>60</v>
      </c>
      <c r="E174" s="73" t="s">
        <v>84</v>
      </c>
      <c r="G174" s="722"/>
      <c r="H174" s="725"/>
      <c r="I174" s="705"/>
      <c r="J174" s="706"/>
      <c r="K174" s="706"/>
      <c r="L174" s="687"/>
      <c r="M174" s="687"/>
      <c r="O174" s="13">
        <v>12</v>
      </c>
      <c r="P174" s="99">
        <v>6</v>
      </c>
      <c r="Q174" s="78">
        <f t="shared" si="9"/>
        <v>72</v>
      </c>
      <c r="R174" s="10"/>
      <c r="S174" s="4">
        <v>0</v>
      </c>
      <c r="T174" s="4">
        <v>0</v>
      </c>
      <c r="U174" s="20">
        <f t="shared" si="11"/>
        <v>0</v>
      </c>
      <c r="V174" s="4"/>
      <c r="W174" s="4"/>
    </row>
    <row r="175" spans="2:23">
      <c r="B175" s="260" t="s">
        <v>75</v>
      </c>
      <c r="C175" s="192">
        <v>2</v>
      </c>
      <c r="D175" s="261" t="s">
        <v>85</v>
      </c>
      <c r="E175" s="305" t="s">
        <v>86</v>
      </c>
      <c r="G175" s="720">
        <v>1</v>
      </c>
      <c r="H175" s="710" t="s">
        <v>71</v>
      </c>
      <c r="I175" s="711">
        <v>8002</v>
      </c>
      <c r="J175" s="712" t="s">
        <v>219</v>
      </c>
      <c r="K175" s="712" t="s">
        <v>220</v>
      </c>
      <c r="L175" s="685" t="s">
        <v>221</v>
      </c>
      <c r="M175" s="685">
        <v>264</v>
      </c>
      <c r="O175" s="252">
        <v>12</v>
      </c>
      <c r="P175" s="122">
        <v>5</v>
      </c>
      <c r="Q175" s="253">
        <f t="shared" si="9"/>
        <v>60</v>
      </c>
      <c r="R175" s="10"/>
      <c r="S175" s="4">
        <v>0</v>
      </c>
      <c r="T175" s="4">
        <v>0</v>
      </c>
      <c r="U175" s="20">
        <f t="shared" si="11"/>
        <v>0</v>
      </c>
      <c r="V175" s="4"/>
      <c r="W175" s="4"/>
    </row>
    <row r="176" spans="2:23">
      <c r="B176" s="106" t="s">
        <v>75</v>
      </c>
      <c r="C176" s="80">
        <v>1</v>
      </c>
      <c r="D176" s="255" t="s">
        <v>718</v>
      </c>
      <c r="E176" s="66" t="s">
        <v>86</v>
      </c>
      <c r="G176" s="721"/>
      <c r="H176" s="702"/>
      <c r="I176" s="704"/>
      <c r="J176" s="693"/>
      <c r="K176" s="693"/>
      <c r="L176" s="686"/>
      <c r="M176" s="686"/>
      <c r="O176" s="42">
        <v>12</v>
      </c>
      <c r="P176" s="95">
        <v>6</v>
      </c>
      <c r="Q176" s="96">
        <f t="shared" si="9"/>
        <v>72</v>
      </c>
      <c r="R176" s="10"/>
      <c r="S176" s="4">
        <v>0</v>
      </c>
      <c r="T176" s="4">
        <v>0</v>
      </c>
      <c r="U176" s="20">
        <f t="shared" si="11"/>
        <v>0</v>
      </c>
      <c r="V176" s="4"/>
      <c r="W176" s="4"/>
    </row>
    <row r="177" spans="2:23" ht="15.75" thickBot="1">
      <c r="B177" s="108" t="s">
        <v>75</v>
      </c>
      <c r="C177" s="13">
        <v>1</v>
      </c>
      <c r="D177" s="257" t="s">
        <v>87</v>
      </c>
      <c r="E177" s="64" t="s">
        <v>86</v>
      </c>
      <c r="G177" s="721"/>
      <c r="H177" s="702"/>
      <c r="I177" s="704"/>
      <c r="J177" s="693"/>
      <c r="K177" s="693"/>
      <c r="L177" s="686"/>
      <c r="M177" s="686"/>
      <c r="O177" s="42">
        <v>12</v>
      </c>
      <c r="P177" s="95">
        <v>5</v>
      </c>
      <c r="Q177" s="96">
        <f t="shared" si="9"/>
        <v>60</v>
      </c>
      <c r="R177" s="10"/>
      <c r="S177" s="4">
        <v>0</v>
      </c>
      <c r="T177" s="4">
        <v>0</v>
      </c>
      <c r="U177" s="20">
        <f t="shared" si="11"/>
        <v>0</v>
      </c>
      <c r="V177" s="4"/>
      <c r="W177" s="4"/>
    </row>
    <row r="178" spans="2:23" ht="15.75" thickBot="1">
      <c r="B178" s="260" t="s">
        <v>56</v>
      </c>
      <c r="C178" s="685">
        <v>1</v>
      </c>
      <c r="D178" s="761" t="s">
        <v>60</v>
      </c>
      <c r="E178" s="262" t="s">
        <v>88</v>
      </c>
      <c r="G178" s="722"/>
      <c r="H178" s="703"/>
      <c r="I178" s="705"/>
      <c r="J178" s="706"/>
      <c r="K178" s="706"/>
      <c r="L178" s="687"/>
      <c r="M178" s="687"/>
      <c r="O178" s="13">
        <v>12</v>
      </c>
      <c r="P178" s="99">
        <v>6</v>
      </c>
      <c r="Q178" s="78">
        <f t="shared" si="9"/>
        <v>72</v>
      </c>
      <c r="R178" s="10"/>
      <c r="S178" s="4">
        <v>0</v>
      </c>
      <c r="T178" s="4">
        <v>0</v>
      </c>
      <c r="U178" s="20">
        <f t="shared" si="11"/>
        <v>0</v>
      </c>
      <c r="V178" s="4"/>
      <c r="W178" s="4"/>
    </row>
    <row r="179" spans="2:23">
      <c r="B179" s="106" t="s">
        <v>56</v>
      </c>
      <c r="C179" s="686"/>
      <c r="D179" s="762"/>
      <c r="E179" s="25" t="s">
        <v>88</v>
      </c>
      <c r="G179" s="720">
        <v>8</v>
      </c>
      <c r="H179" s="710" t="s">
        <v>72</v>
      </c>
      <c r="I179" s="711">
        <v>8022</v>
      </c>
      <c r="J179" s="711" t="s">
        <v>219</v>
      </c>
      <c r="K179" s="711" t="s">
        <v>220</v>
      </c>
      <c r="L179" s="685" t="s">
        <v>221</v>
      </c>
      <c r="M179" s="713">
        <v>264</v>
      </c>
      <c r="O179" s="252">
        <v>12</v>
      </c>
      <c r="P179" s="122">
        <v>5</v>
      </c>
      <c r="Q179" s="253">
        <f t="shared" si="9"/>
        <v>60</v>
      </c>
      <c r="R179" s="10"/>
      <c r="S179" s="4">
        <v>0</v>
      </c>
      <c r="T179" s="4">
        <v>0</v>
      </c>
      <c r="U179" s="20">
        <f t="shared" si="11"/>
        <v>0</v>
      </c>
      <c r="V179" s="4"/>
      <c r="W179" s="4"/>
    </row>
    <row r="180" spans="2:23">
      <c r="B180" s="107" t="s">
        <v>56</v>
      </c>
      <c r="C180" s="688"/>
      <c r="D180" s="699"/>
      <c r="E180" s="25" t="s">
        <v>88</v>
      </c>
      <c r="G180" s="721"/>
      <c r="H180" s="702"/>
      <c r="I180" s="704"/>
      <c r="J180" s="704"/>
      <c r="K180" s="704"/>
      <c r="L180" s="686"/>
      <c r="M180" s="714"/>
      <c r="O180" s="42">
        <v>12</v>
      </c>
      <c r="P180" s="95">
        <v>6</v>
      </c>
      <c r="Q180" s="96">
        <f t="shared" si="9"/>
        <v>72</v>
      </c>
      <c r="R180" s="10"/>
      <c r="S180" s="4">
        <v>0</v>
      </c>
      <c r="T180" s="4">
        <v>0</v>
      </c>
      <c r="U180" s="20">
        <f t="shared" si="11"/>
        <v>0</v>
      </c>
      <c r="V180" s="4"/>
      <c r="W180" s="4"/>
    </row>
    <row r="181" spans="2:23" ht="15.75" thickBot="1">
      <c r="B181" s="108" t="s">
        <v>56</v>
      </c>
      <c r="C181" s="59">
        <v>1</v>
      </c>
      <c r="D181" s="256" t="s">
        <v>89</v>
      </c>
      <c r="E181" s="64" t="s">
        <v>88</v>
      </c>
      <c r="G181" s="721"/>
      <c r="H181" s="702"/>
      <c r="I181" s="704"/>
      <c r="J181" s="704"/>
      <c r="K181" s="704"/>
      <c r="L181" s="686"/>
      <c r="M181" s="714"/>
      <c r="O181" s="42">
        <v>12</v>
      </c>
      <c r="P181" s="95">
        <v>5</v>
      </c>
      <c r="Q181" s="96">
        <f t="shared" si="9"/>
        <v>60</v>
      </c>
      <c r="R181" s="10"/>
      <c r="S181" s="4">
        <v>0</v>
      </c>
      <c r="T181" s="4">
        <v>0</v>
      </c>
      <c r="U181" s="20">
        <f t="shared" si="11"/>
        <v>0</v>
      </c>
      <c r="V181" s="4"/>
      <c r="W181" s="4"/>
    </row>
    <row r="182" spans="2:23" ht="15.75" thickBot="1">
      <c r="B182" s="260" t="s">
        <v>56</v>
      </c>
      <c r="C182" s="224">
        <v>1</v>
      </c>
      <c r="D182" s="284" t="s">
        <v>60</v>
      </c>
      <c r="E182" s="262" t="s">
        <v>90</v>
      </c>
      <c r="G182" s="722"/>
      <c r="H182" s="703"/>
      <c r="I182" s="705"/>
      <c r="J182" s="705"/>
      <c r="K182" s="705"/>
      <c r="L182" s="687"/>
      <c r="M182" s="715"/>
      <c r="O182" s="13">
        <v>12</v>
      </c>
      <c r="P182" s="99">
        <v>6</v>
      </c>
      <c r="Q182" s="78">
        <f t="shared" si="9"/>
        <v>72</v>
      </c>
      <c r="S182" s="4">
        <v>0</v>
      </c>
      <c r="T182" s="4">
        <v>0</v>
      </c>
      <c r="U182" s="20">
        <f t="shared" si="11"/>
        <v>0</v>
      </c>
      <c r="V182" s="4"/>
      <c r="W182" s="4"/>
    </row>
    <row r="183" spans="2:23" ht="15.75" thickBot="1">
      <c r="B183" s="108" t="s">
        <v>56</v>
      </c>
      <c r="C183" s="13">
        <v>1</v>
      </c>
      <c r="D183" s="257" t="s">
        <v>91</v>
      </c>
      <c r="E183" s="64" t="s">
        <v>90</v>
      </c>
      <c r="G183" s="720">
        <v>1</v>
      </c>
      <c r="H183" s="710" t="s">
        <v>72</v>
      </c>
      <c r="I183" s="711">
        <v>8022</v>
      </c>
      <c r="J183" s="711">
        <v>66</v>
      </c>
      <c r="K183" s="711" t="s">
        <v>220</v>
      </c>
      <c r="L183" s="685" t="s">
        <v>221</v>
      </c>
      <c r="M183" s="685">
        <f>+G183*J183</f>
        <v>66</v>
      </c>
      <c r="O183" s="240">
        <v>12</v>
      </c>
      <c r="P183" s="240">
        <v>5</v>
      </c>
      <c r="Q183" s="253">
        <f t="shared" si="9"/>
        <v>60</v>
      </c>
      <c r="S183" s="4">
        <v>0</v>
      </c>
      <c r="T183" s="4">
        <v>0</v>
      </c>
      <c r="U183" s="20">
        <f t="shared" si="11"/>
        <v>0</v>
      </c>
      <c r="V183" s="4"/>
      <c r="W183" s="4"/>
    </row>
    <row r="184" spans="2:23" ht="15.75" thickBot="1">
      <c r="B184" s="28" t="s">
        <v>56</v>
      </c>
      <c r="C184" s="31">
        <v>1</v>
      </c>
      <c r="D184" s="255" t="s">
        <v>67</v>
      </c>
      <c r="E184" s="65" t="s">
        <v>92</v>
      </c>
      <c r="G184" s="722"/>
      <c r="H184" s="703"/>
      <c r="I184" s="705"/>
      <c r="J184" s="705"/>
      <c r="K184" s="705"/>
      <c r="L184" s="687"/>
      <c r="M184" s="687"/>
      <c r="O184" s="5">
        <v>6</v>
      </c>
      <c r="P184" s="5">
        <v>1</v>
      </c>
      <c r="Q184" s="78">
        <f t="shared" si="9"/>
        <v>6</v>
      </c>
      <c r="S184" s="4">
        <v>0</v>
      </c>
      <c r="T184" s="4">
        <v>0</v>
      </c>
      <c r="U184" s="20">
        <f t="shared" si="11"/>
        <v>0</v>
      </c>
      <c r="V184" s="4"/>
      <c r="W184" s="4"/>
    </row>
    <row r="185" spans="2:23" ht="15.75" thickBot="1">
      <c r="B185" s="286" t="s">
        <v>75</v>
      </c>
      <c r="C185" s="251">
        <v>1</v>
      </c>
      <c r="D185" s="251" t="s">
        <v>60</v>
      </c>
      <c r="E185" s="287" t="s">
        <v>95</v>
      </c>
      <c r="G185" s="720">
        <v>22</v>
      </c>
      <c r="H185" s="710" t="s">
        <v>74</v>
      </c>
      <c r="I185" s="711">
        <v>8009</v>
      </c>
      <c r="J185" s="711" t="s">
        <v>219</v>
      </c>
      <c r="K185" s="711" t="s">
        <v>220</v>
      </c>
      <c r="L185" s="685" t="s">
        <v>221</v>
      </c>
      <c r="M185" s="713">
        <v>264</v>
      </c>
      <c r="O185" s="252">
        <v>12</v>
      </c>
      <c r="P185" s="122">
        <v>5</v>
      </c>
      <c r="Q185" s="253">
        <f t="shared" si="9"/>
        <v>60</v>
      </c>
      <c r="S185" s="4">
        <v>0</v>
      </c>
      <c r="T185" s="4">
        <v>0</v>
      </c>
      <c r="U185" s="20">
        <f t="shared" si="11"/>
        <v>0</v>
      </c>
      <c r="V185" s="4"/>
      <c r="W185" s="4"/>
    </row>
    <row r="186" spans="2:23" ht="15.75" thickBot="1">
      <c r="B186" s="288" t="s">
        <v>75</v>
      </c>
      <c r="C186" s="259">
        <v>1</v>
      </c>
      <c r="D186" s="259" t="s">
        <v>231</v>
      </c>
      <c r="E186" s="289" t="s">
        <v>96</v>
      </c>
      <c r="G186" s="721"/>
      <c r="H186" s="702"/>
      <c r="I186" s="704"/>
      <c r="J186" s="704"/>
      <c r="K186" s="704"/>
      <c r="L186" s="686"/>
      <c r="M186" s="714"/>
      <c r="O186" s="42">
        <v>12</v>
      </c>
      <c r="P186" s="95">
        <v>6</v>
      </c>
      <c r="Q186" s="96">
        <f t="shared" si="9"/>
        <v>72</v>
      </c>
      <c r="S186" s="4">
        <v>0</v>
      </c>
      <c r="T186" s="4">
        <v>0</v>
      </c>
      <c r="U186" s="20">
        <f t="shared" si="11"/>
        <v>0</v>
      </c>
      <c r="V186" s="4"/>
      <c r="W186" s="4"/>
    </row>
    <row r="187" spans="2:23">
      <c r="B187" s="288" t="s">
        <v>75</v>
      </c>
      <c r="C187" s="259">
        <v>1</v>
      </c>
      <c r="D187" s="259" t="s">
        <v>60</v>
      </c>
      <c r="E187" s="289" t="s">
        <v>230</v>
      </c>
      <c r="G187" s="721"/>
      <c r="H187" s="702"/>
      <c r="I187" s="704"/>
      <c r="J187" s="704"/>
      <c r="K187" s="704"/>
      <c r="L187" s="686"/>
      <c r="M187" s="714"/>
      <c r="O187" s="42">
        <v>12</v>
      </c>
      <c r="P187" s="95">
        <v>5</v>
      </c>
      <c r="Q187" s="96">
        <f t="shared" si="9"/>
        <v>60</v>
      </c>
      <c r="S187" s="4">
        <v>0</v>
      </c>
      <c r="T187" s="4">
        <v>0</v>
      </c>
      <c r="U187" s="20">
        <f t="shared" si="11"/>
        <v>0</v>
      </c>
      <c r="V187" s="4"/>
      <c r="W187" s="4"/>
    </row>
    <row r="188" spans="2:23" ht="15.75" thickBot="1">
      <c r="B188" s="290" t="s">
        <v>75</v>
      </c>
      <c r="C188" s="86">
        <v>1</v>
      </c>
      <c r="D188" s="86" t="s">
        <v>60</v>
      </c>
      <c r="E188" s="82" t="s">
        <v>205</v>
      </c>
      <c r="G188" s="722"/>
      <c r="H188" s="703"/>
      <c r="I188" s="705"/>
      <c r="J188" s="705"/>
      <c r="K188" s="705"/>
      <c r="L188" s="687"/>
      <c r="M188" s="715"/>
      <c r="O188" s="13">
        <v>12</v>
      </c>
      <c r="P188" s="99">
        <v>6</v>
      </c>
      <c r="Q188" s="78">
        <f t="shared" si="9"/>
        <v>72</v>
      </c>
      <c r="S188" s="4">
        <v>0</v>
      </c>
      <c r="T188" s="4">
        <v>0</v>
      </c>
      <c r="U188" s="20">
        <f t="shared" si="11"/>
        <v>0</v>
      </c>
      <c r="V188" s="4"/>
      <c r="W188" s="4"/>
    </row>
    <row r="189" spans="2:23">
      <c r="B189" s="290" t="s">
        <v>75</v>
      </c>
      <c r="C189" s="86">
        <v>1</v>
      </c>
      <c r="D189" s="86" t="s">
        <v>60</v>
      </c>
      <c r="E189" s="82" t="s">
        <v>236</v>
      </c>
      <c r="G189" s="720">
        <v>1</v>
      </c>
      <c r="H189" s="710" t="s">
        <v>74</v>
      </c>
      <c r="I189" s="711">
        <v>8009</v>
      </c>
      <c r="J189" s="711">
        <v>48</v>
      </c>
      <c r="K189" s="711" t="s">
        <v>220</v>
      </c>
      <c r="L189" s="685" t="s">
        <v>221</v>
      </c>
      <c r="M189" s="685">
        <f>+G189*J189</f>
        <v>48</v>
      </c>
      <c r="O189" s="240">
        <v>8</v>
      </c>
      <c r="P189" s="240">
        <v>5</v>
      </c>
      <c r="Q189" s="253">
        <f t="shared" si="9"/>
        <v>40</v>
      </c>
      <c r="S189" s="4">
        <v>0</v>
      </c>
      <c r="T189" s="4">
        <v>0</v>
      </c>
      <c r="U189" s="20">
        <f t="shared" si="11"/>
        <v>0</v>
      </c>
      <c r="V189" s="4"/>
      <c r="W189" s="4"/>
    </row>
    <row r="190" spans="2:23" ht="15.75" thickBot="1">
      <c r="B190" s="290" t="s">
        <v>75</v>
      </c>
      <c r="C190" s="86">
        <v>1</v>
      </c>
      <c r="D190" s="86" t="s">
        <v>60</v>
      </c>
      <c r="E190" s="82" t="s">
        <v>386</v>
      </c>
      <c r="G190" s="722"/>
      <c r="H190" s="703"/>
      <c r="I190" s="705"/>
      <c r="J190" s="705"/>
      <c r="K190" s="705"/>
      <c r="L190" s="687"/>
      <c r="M190" s="687"/>
      <c r="O190" s="61">
        <v>12</v>
      </c>
      <c r="P190" s="61">
        <v>1</v>
      </c>
      <c r="Q190" s="81">
        <f t="shared" si="9"/>
        <v>12</v>
      </c>
      <c r="S190" s="4">
        <v>0</v>
      </c>
      <c r="T190" s="4">
        <v>0</v>
      </c>
      <c r="U190" s="20">
        <f t="shared" si="11"/>
        <v>0</v>
      </c>
      <c r="V190" s="4"/>
      <c r="W190" s="4"/>
    </row>
    <row r="191" spans="2:23" ht="15.75" thickBot="1">
      <c r="C191" s="104">
        <f>SUM(C146:C190)</f>
        <v>78</v>
      </c>
      <c r="G191" s="720">
        <v>1</v>
      </c>
      <c r="H191" s="710" t="s">
        <v>74</v>
      </c>
      <c r="I191" s="711">
        <v>8009</v>
      </c>
      <c r="J191" s="711">
        <v>40</v>
      </c>
      <c r="K191" s="711" t="s">
        <v>220</v>
      </c>
      <c r="L191" s="685" t="s">
        <v>221</v>
      </c>
      <c r="M191" s="685">
        <f>+G191*J191</f>
        <v>40</v>
      </c>
      <c r="O191" s="192">
        <v>6</v>
      </c>
      <c r="P191" s="291">
        <v>5</v>
      </c>
      <c r="Q191" s="96">
        <f t="shared" si="9"/>
        <v>30</v>
      </c>
      <c r="S191" s="4">
        <v>0</v>
      </c>
      <c r="T191" s="4">
        <v>0</v>
      </c>
      <c r="U191" s="20">
        <f t="shared" si="11"/>
        <v>0</v>
      </c>
      <c r="V191" s="4"/>
      <c r="W191" s="4"/>
    </row>
    <row r="192" spans="2:23" ht="15.75" thickBot="1">
      <c r="B192" s="753" t="s">
        <v>374</v>
      </c>
      <c r="C192" s="754"/>
      <c r="D192" s="754"/>
      <c r="E192" s="755"/>
      <c r="G192" s="722"/>
      <c r="H192" s="703"/>
      <c r="I192" s="705"/>
      <c r="J192" s="705"/>
      <c r="K192" s="705"/>
      <c r="L192" s="687"/>
      <c r="M192" s="687"/>
      <c r="O192" s="5">
        <v>10</v>
      </c>
      <c r="P192" s="5">
        <v>1</v>
      </c>
      <c r="Q192" s="101">
        <f t="shared" si="9"/>
        <v>10</v>
      </c>
      <c r="S192" s="4">
        <v>0</v>
      </c>
      <c r="T192" s="4">
        <v>0</v>
      </c>
      <c r="U192" s="20">
        <f t="shared" si="11"/>
        <v>0</v>
      </c>
      <c r="V192" s="4"/>
      <c r="W192" s="4"/>
    </row>
    <row r="193" spans="2:23">
      <c r="B193" s="165" t="s">
        <v>49</v>
      </c>
      <c r="C193" s="166" t="s">
        <v>50</v>
      </c>
      <c r="D193" s="167" t="s">
        <v>51</v>
      </c>
      <c r="E193" s="168" t="s">
        <v>52</v>
      </c>
      <c r="G193" s="720">
        <v>3</v>
      </c>
      <c r="H193" s="710" t="s">
        <v>77</v>
      </c>
      <c r="I193" s="711">
        <v>8018</v>
      </c>
      <c r="J193" s="711" t="s">
        <v>219</v>
      </c>
      <c r="K193" s="711" t="s">
        <v>220</v>
      </c>
      <c r="L193" s="685" t="s">
        <v>221</v>
      </c>
      <c r="M193" s="685">
        <v>264</v>
      </c>
      <c r="O193" s="252">
        <v>12</v>
      </c>
      <c r="P193" s="122">
        <v>5</v>
      </c>
      <c r="Q193" s="253">
        <f t="shared" si="9"/>
        <v>60</v>
      </c>
      <c r="S193" s="4">
        <v>0</v>
      </c>
      <c r="T193" s="4">
        <v>0</v>
      </c>
      <c r="U193" s="20">
        <f t="shared" si="11"/>
        <v>0</v>
      </c>
      <c r="V193" s="4"/>
      <c r="W193" s="4"/>
    </row>
    <row r="194" spans="2:23">
      <c r="B194" s="292" t="s">
        <v>56</v>
      </c>
      <c r="C194" s="692">
        <v>2</v>
      </c>
      <c r="D194" s="692" t="s">
        <v>363</v>
      </c>
      <c r="E194" s="169" t="s">
        <v>308</v>
      </c>
      <c r="G194" s="721"/>
      <c r="H194" s="702"/>
      <c r="I194" s="704"/>
      <c r="J194" s="704"/>
      <c r="K194" s="704"/>
      <c r="L194" s="686"/>
      <c r="M194" s="686"/>
      <c r="O194" s="42">
        <v>12</v>
      </c>
      <c r="P194" s="95">
        <v>6</v>
      </c>
      <c r="Q194" s="96">
        <f t="shared" si="9"/>
        <v>72</v>
      </c>
      <c r="S194" s="4">
        <v>0</v>
      </c>
      <c r="T194" s="4">
        <v>0</v>
      </c>
      <c r="U194" s="20">
        <f t="shared" si="11"/>
        <v>0</v>
      </c>
      <c r="V194" s="4"/>
      <c r="W194" s="4"/>
    </row>
    <row r="195" spans="2:23">
      <c r="B195" s="292" t="s">
        <v>56</v>
      </c>
      <c r="C195" s="693"/>
      <c r="D195" s="693"/>
      <c r="E195" s="169" t="s">
        <v>308</v>
      </c>
      <c r="G195" s="721"/>
      <c r="H195" s="702"/>
      <c r="I195" s="704"/>
      <c r="J195" s="704"/>
      <c r="K195" s="704"/>
      <c r="L195" s="686"/>
      <c r="M195" s="686"/>
      <c r="O195" s="42">
        <v>12</v>
      </c>
      <c r="P195" s="95">
        <v>5</v>
      </c>
      <c r="Q195" s="96">
        <f t="shared" si="9"/>
        <v>60</v>
      </c>
      <c r="S195" s="4">
        <v>0</v>
      </c>
      <c r="T195" s="4">
        <v>0</v>
      </c>
      <c r="U195" s="20">
        <f t="shared" si="11"/>
        <v>0</v>
      </c>
      <c r="V195" s="4"/>
      <c r="W195" s="4"/>
    </row>
    <row r="196" spans="2:23" ht="15.75" thickBot="1">
      <c r="B196" s="292" t="s">
        <v>56</v>
      </c>
      <c r="C196" s="694"/>
      <c r="D196" s="694"/>
      <c r="E196" s="169" t="s">
        <v>308</v>
      </c>
      <c r="G196" s="763"/>
      <c r="H196" s="736"/>
      <c r="I196" s="734"/>
      <c r="J196" s="734"/>
      <c r="K196" s="734"/>
      <c r="L196" s="688"/>
      <c r="M196" s="686"/>
      <c r="O196" s="13">
        <v>12</v>
      </c>
      <c r="P196" s="99">
        <v>6</v>
      </c>
      <c r="Q196" s="78">
        <f t="shared" si="9"/>
        <v>72</v>
      </c>
      <c r="S196" s="4">
        <v>0</v>
      </c>
      <c r="T196" s="4">
        <v>0</v>
      </c>
      <c r="U196" s="20">
        <f t="shared" si="11"/>
        <v>0</v>
      </c>
      <c r="V196" s="4"/>
      <c r="W196" s="4"/>
    </row>
    <row r="197" spans="2:23" ht="15.75" thickBot="1">
      <c r="B197" s="293" t="s">
        <v>56</v>
      </c>
      <c r="C197" s="89">
        <v>1</v>
      </c>
      <c r="D197" s="89" t="s">
        <v>364</v>
      </c>
      <c r="E197" s="171" t="s">
        <v>308</v>
      </c>
      <c r="G197" s="280">
        <v>1</v>
      </c>
      <c r="H197" s="149" t="s">
        <v>77</v>
      </c>
      <c r="I197" s="144">
        <v>8018</v>
      </c>
      <c r="J197" s="62">
        <v>60</v>
      </c>
      <c r="K197" s="62">
        <v>60</v>
      </c>
      <c r="L197" s="278" t="s">
        <v>221</v>
      </c>
      <c r="M197" s="13">
        <f>+G197*J197</f>
        <v>60</v>
      </c>
      <c r="O197" s="80">
        <v>10</v>
      </c>
      <c r="P197" s="150">
        <v>6</v>
      </c>
      <c r="Q197" s="102">
        <f t="shared" si="9"/>
        <v>60</v>
      </c>
      <c r="S197" s="4"/>
      <c r="T197" s="4"/>
      <c r="U197" s="20"/>
      <c r="V197" s="4"/>
      <c r="W197" s="4"/>
    </row>
    <row r="198" spans="2:23">
      <c r="B198" s="294" t="s">
        <v>56</v>
      </c>
      <c r="C198" s="86">
        <v>1</v>
      </c>
      <c r="D198" s="86" t="s">
        <v>365</v>
      </c>
      <c r="E198" s="295" t="s">
        <v>349</v>
      </c>
      <c r="G198" s="704">
        <v>8</v>
      </c>
      <c r="H198" s="702" t="s">
        <v>79</v>
      </c>
      <c r="I198" s="704">
        <v>8023</v>
      </c>
      <c r="J198" s="704" t="s">
        <v>219</v>
      </c>
      <c r="K198" s="704" t="s">
        <v>220</v>
      </c>
      <c r="L198" s="686" t="s">
        <v>221</v>
      </c>
      <c r="M198" s="686">
        <v>264</v>
      </c>
      <c r="O198" s="252">
        <v>12</v>
      </c>
      <c r="P198" s="122">
        <v>5</v>
      </c>
      <c r="Q198" s="253">
        <f t="shared" si="9"/>
        <v>60</v>
      </c>
      <c r="S198" s="4">
        <v>0</v>
      </c>
      <c r="T198" s="4">
        <v>0</v>
      </c>
      <c r="U198" s="20">
        <f t="shared" ref="U198:U227" si="12">S198*T198</f>
        <v>0</v>
      </c>
      <c r="V198" s="4"/>
      <c r="W198" s="4"/>
    </row>
    <row r="199" spans="2:23">
      <c r="B199" s="292" t="s">
        <v>56</v>
      </c>
      <c r="C199" s="86">
        <v>1</v>
      </c>
      <c r="D199" s="86" t="s">
        <v>366</v>
      </c>
      <c r="E199" s="169" t="s">
        <v>351</v>
      </c>
      <c r="G199" s="704"/>
      <c r="H199" s="702"/>
      <c r="I199" s="704"/>
      <c r="J199" s="704"/>
      <c r="K199" s="704"/>
      <c r="L199" s="686"/>
      <c r="M199" s="686"/>
      <c r="O199" s="42">
        <v>12</v>
      </c>
      <c r="P199" s="95">
        <v>6</v>
      </c>
      <c r="Q199" s="96">
        <f t="shared" si="9"/>
        <v>72</v>
      </c>
      <c r="S199" s="4">
        <v>0</v>
      </c>
      <c r="T199" s="4">
        <v>0</v>
      </c>
      <c r="U199" s="20">
        <f t="shared" si="12"/>
        <v>0</v>
      </c>
      <c r="V199" s="4"/>
      <c r="W199" s="4"/>
    </row>
    <row r="200" spans="2:23">
      <c r="B200" s="292" t="s">
        <v>56</v>
      </c>
      <c r="C200" s="86">
        <v>1</v>
      </c>
      <c r="D200" s="86" t="s">
        <v>367</v>
      </c>
      <c r="E200" s="169" t="s">
        <v>353</v>
      </c>
      <c r="G200" s="704"/>
      <c r="H200" s="702"/>
      <c r="I200" s="704"/>
      <c r="J200" s="704"/>
      <c r="K200" s="704"/>
      <c r="L200" s="686"/>
      <c r="M200" s="686"/>
      <c r="O200" s="42">
        <v>12</v>
      </c>
      <c r="P200" s="95">
        <v>5</v>
      </c>
      <c r="Q200" s="96">
        <f t="shared" si="9"/>
        <v>60</v>
      </c>
      <c r="S200" s="4">
        <v>0</v>
      </c>
      <c r="T200" s="4">
        <v>0</v>
      </c>
      <c r="U200" s="20">
        <f t="shared" si="12"/>
        <v>0</v>
      </c>
      <c r="V200" s="4"/>
      <c r="W200" s="4"/>
    </row>
    <row r="201" spans="2:23" ht="15.75" thickBot="1">
      <c r="B201" s="292" t="s">
        <v>56</v>
      </c>
      <c r="C201" s="86">
        <v>1</v>
      </c>
      <c r="D201" s="86" t="s">
        <v>368</v>
      </c>
      <c r="E201" s="169" t="s">
        <v>355</v>
      </c>
      <c r="G201" s="734"/>
      <c r="H201" s="736"/>
      <c r="I201" s="734"/>
      <c r="J201" s="734"/>
      <c r="K201" s="734"/>
      <c r="L201" s="688"/>
      <c r="M201" s="687"/>
      <c r="O201" s="13">
        <v>12</v>
      </c>
      <c r="P201" s="99">
        <v>6</v>
      </c>
      <c r="Q201" s="78">
        <f t="shared" si="9"/>
        <v>72</v>
      </c>
      <c r="S201" s="4">
        <v>0</v>
      </c>
      <c r="T201" s="4">
        <v>0</v>
      </c>
      <c r="U201" s="20">
        <f t="shared" si="12"/>
        <v>0</v>
      </c>
      <c r="V201" s="4"/>
      <c r="W201" s="4"/>
    </row>
    <row r="202" spans="2:23">
      <c r="B202" s="292" t="s">
        <v>56</v>
      </c>
      <c r="C202" s="86">
        <v>1</v>
      </c>
      <c r="D202" s="86" t="s">
        <v>368</v>
      </c>
      <c r="E202" s="170" t="s">
        <v>357</v>
      </c>
      <c r="G202" s="733">
        <v>1</v>
      </c>
      <c r="H202" s="735" t="s">
        <v>80</v>
      </c>
      <c r="I202" s="733">
        <v>8012</v>
      </c>
      <c r="J202" s="733" t="s">
        <v>219</v>
      </c>
      <c r="K202" s="733" t="s">
        <v>220</v>
      </c>
      <c r="L202" s="737" t="s">
        <v>221</v>
      </c>
      <c r="M202" s="685">
        <v>264</v>
      </c>
      <c r="O202" s="252">
        <v>12</v>
      </c>
      <c r="P202" s="122">
        <v>5</v>
      </c>
      <c r="Q202" s="253">
        <f t="shared" si="9"/>
        <v>60</v>
      </c>
      <c r="S202" s="4">
        <v>0</v>
      </c>
      <c r="T202" s="4">
        <v>0</v>
      </c>
      <c r="U202" s="20">
        <f t="shared" si="12"/>
        <v>0</v>
      </c>
      <c r="V202" s="4"/>
      <c r="W202" s="4"/>
    </row>
    <row r="203" spans="2:23" ht="15.75" thickBot="1">
      <c r="B203" s="293" t="s">
        <v>56</v>
      </c>
      <c r="C203" s="87">
        <v>1</v>
      </c>
      <c r="D203" s="87" t="s">
        <v>369</v>
      </c>
      <c r="E203" s="171" t="s">
        <v>359</v>
      </c>
      <c r="G203" s="704"/>
      <c r="H203" s="702"/>
      <c r="I203" s="704"/>
      <c r="J203" s="704"/>
      <c r="K203" s="704"/>
      <c r="L203" s="686"/>
      <c r="M203" s="686"/>
      <c r="O203" s="42">
        <v>12</v>
      </c>
      <c r="P203" s="95">
        <v>6</v>
      </c>
      <c r="Q203" s="96">
        <f t="shared" si="9"/>
        <v>72</v>
      </c>
      <c r="S203" s="4">
        <v>0</v>
      </c>
      <c r="T203" s="4">
        <v>0</v>
      </c>
      <c r="U203" s="20">
        <f t="shared" si="12"/>
        <v>0</v>
      </c>
      <c r="V203" s="4"/>
      <c r="W203" s="4"/>
    </row>
    <row r="204" spans="2:23">
      <c r="B204" s="297" t="s">
        <v>370</v>
      </c>
      <c r="C204" s="259">
        <v>1</v>
      </c>
      <c r="D204" s="259" t="s">
        <v>371</v>
      </c>
      <c r="E204" s="298" t="s">
        <v>372</v>
      </c>
      <c r="G204" s="704"/>
      <c r="H204" s="702"/>
      <c r="I204" s="704"/>
      <c r="J204" s="704"/>
      <c r="K204" s="704"/>
      <c r="L204" s="686"/>
      <c r="M204" s="686"/>
      <c r="O204" s="42">
        <v>12</v>
      </c>
      <c r="P204" s="95">
        <v>5</v>
      </c>
      <c r="Q204" s="96">
        <f t="shared" si="9"/>
        <v>60</v>
      </c>
      <c r="S204" s="4">
        <v>0</v>
      </c>
      <c r="T204" s="4">
        <v>0</v>
      </c>
      <c r="U204" s="20">
        <f t="shared" si="12"/>
        <v>0</v>
      </c>
      <c r="V204" s="4"/>
      <c r="W204" s="4"/>
    </row>
    <row r="205" spans="2:23" ht="15.75" thickBot="1">
      <c r="B205" s="172" t="s">
        <v>370</v>
      </c>
      <c r="C205" s="88">
        <v>1</v>
      </c>
      <c r="D205" s="88" t="s">
        <v>373</v>
      </c>
      <c r="E205" s="169" t="s">
        <v>264</v>
      </c>
      <c r="G205" s="734"/>
      <c r="H205" s="736"/>
      <c r="I205" s="734"/>
      <c r="J205" s="734"/>
      <c r="K205" s="734"/>
      <c r="L205" s="688"/>
      <c r="M205" s="687"/>
      <c r="O205" s="13">
        <v>12</v>
      </c>
      <c r="P205" s="99">
        <v>6</v>
      </c>
      <c r="Q205" s="78">
        <f t="shared" si="9"/>
        <v>72</v>
      </c>
      <c r="S205" s="4">
        <v>0</v>
      </c>
      <c r="T205" s="4">
        <v>0</v>
      </c>
      <c r="U205" s="20">
        <f t="shared" si="12"/>
        <v>0</v>
      </c>
      <c r="V205" s="4"/>
      <c r="W205" s="4"/>
    </row>
    <row r="206" spans="2:23">
      <c r="C206" s="174">
        <f>SUM(C194:C205)</f>
        <v>11</v>
      </c>
      <c r="G206" s="733">
        <v>3</v>
      </c>
      <c r="H206" s="735" t="s">
        <v>81</v>
      </c>
      <c r="I206" s="733">
        <v>8004</v>
      </c>
      <c r="J206" s="733" t="s">
        <v>219</v>
      </c>
      <c r="K206" s="733" t="s">
        <v>220</v>
      </c>
      <c r="L206" s="737" t="s">
        <v>221</v>
      </c>
      <c r="M206" s="685">
        <v>264</v>
      </c>
      <c r="O206" s="252">
        <v>12</v>
      </c>
      <c r="P206" s="122">
        <v>5</v>
      </c>
      <c r="Q206" s="253">
        <f t="shared" si="9"/>
        <v>60</v>
      </c>
      <c r="R206" s="74"/>
      <c r="S206" s="4">
        <v>0</v>
      </c>
      <c r="T206" s="4">
        <v>0</v>
      </c>
      <c r="U206" s="20">
        <f t="shared" si="12"/>
        <v>0</v>
      </c>
      <c r="V206" s="4"/>
      <c r="W206" s="4"/>
    </row>
    <row r="207" spans="2:23">
      <c r="G207" s="704"/>
      <c r="H207" s="702"/>
      <c r="I207" s="704"/>
      <c r="J207" s="704"/>
      <c r="K207" s="704"/>
      <c r="L207" s="686"/>
      <c r="M207" s="686"/>
      <c r="O207" s="42">
        <v>12</v>
      </c>
      <c r="P207" s="95">
        <v>6</v>
      </c>
      <c r="Q207" s="96">
        <f t="shared" si="9"/>
        <v>72</v>
      </c>
      <c r="S207" s="4">
        <v>0</v>
      </c>
      <c r="T207" s="4">
        <v>0</v>
      </c>
      <c r="U207" s="20">
        <f t="shared" si="12"/>
        <v>0</v>
      </c>
      <c r="V207" s="4"/>
      <c r="W207" s="4"/>
    </row>
    <row r="208" spans="2:23">
      <c r="G208" s="704"/>
      <c r="H208" s="702"/>
      <c r="I208" s="704"/>
      <c r="J208" s="704"/>
      <c r="K208" s="704"/>
      <c r="L208" s="686"/>
      <c r="M208" s="686"/>
      <c r="O208" s="42">
        <v>12</v>
      </c>
      <c r="P208" s="95">
        <v>5</v>
      </c>
      <c r="Q208" s="96">
        <f t="shared" si="9"/>
        <v>60</v>
      </c>
      <c r="S208" s="4">
        <v>0</v>
      </c>
      <c r="T208" s="4">
        <v>0</v>
      </c>
      <c r="U208" s="20">
        <f t="shared" si="12"/>
        <v>0</v>
      </c>
      <c r="V208" s="4"/>
      <c r="W208" s="4"/>
    </row>
    <row r="209" spans="7:23" ht="15.75" thickBot="1">
      <c r="G209" s="734"/>
      <c r="H209" s="736"/>
      <c r="I209" s="734"/>
      <c r="J209" s="734"/>
      <c r="K209" s="734"/>
      <c r="L209" s="688"/>
      <c r="M209" s="687"/>
      <c r="O209" s="13">
        <v>12</v>
      </c>
      <c r="P209" s="99">
        <v>6</v>
      </c>
      <c r="Q209" s="78">
        <f t="shared" si="9"/>
        <v>72</v>
      </c>
      <c r="S209" s="4">
        <v>0</v>
      </c>
      <c r="T209" s="4">
        <v>0</v>
      </c>
      <c r="U209" s="20">
        <f t="shared" si="12"/>
        <v>0</v>
      </c>
      <c r="V209" s="4"/>
      <c r="W209" s="4"/>
    </row>
    <row r="210" spans="7:23">
      <c r="G210" s="733">
        <v>13</v>
      </c>
      <c r="H210" s="735" t="s">
        <v>82</v>
      </c>
      <c r="I210" s="733">
        <v>8003</v>
      </c>
      <c r="J210" s="733" t="s">
        <v>219</v>
      </c>
      <c r="K210" s="733" t="s">
        <v>220</v>
      </c>
      <c r="L210" s="737" t="s">
        <v>221</v>
      </c>
      <c r="M210" s="685">
        <v>264</v>
      </c>
      <c r="O210" s="252">
        <v>12</v>
      </c>
      <c r="P210" s="122">
        <v>5</v>
      </c>
      <c r="Q210" s="253">
        <f t="shared" si="9"/>
        <v>60</v>
      </c>
      <c r="S210" s="4">
        <v>0</v>
      </c>
      <c r="T210" s="4">
        <v>0</v>
      </c>
      <c r="U210" s="20">
        <f t="shared" si="12"/>
        <v>0</v>
      </c>
      <c r="V210" s="4"/>
      <c r="W210" s="4"/>
    </row>
    <row r="211" spans="7:23">
      <c r="G211" s="704"/>
      <c r="H211" s="702"/>
      <c r="I211" s="704"/>
      <c r="J211" s="704"/>
      <c r="K211" s="704"/>
      <c r="L211" s="686"/>
      <c r="M211" s="686"/>
      <c r="O211" s="42">
        <v>12</v>
      </c>
      <c r="P211" s="95">
        <v>6</v>
      </c>
      <c r="Q211" s="96">
        <f t="shared" si="9"/>
        <v>72</v>
      </c>
      <c r="S211" s="4">
        <v>0</v>
      </c>
      <c r="T211" s="4">
        <v>0</v>
      </c>
      <c r="U211" s="20">
        <f t="shared" si="12"/>
        <v>0</v>
      </c>
      <c r="V211" s="4"/>
      <c r="W211" s="4"/>
    </row>
    <row r="212" spans="7:23">
      <c r="G212" s="704"/>
      <c r="H212" s="702"/>
      <c r="I212" s="704"/>
      <c r="J212" s="704"/>
      <c r="K212" s="704"/>
      <c r="L212" s="686"/>
      <c r="M212" s="686"/>
      <c r="O212" s="42">
        <v>12</v>
      </c>
      <c r="P212" s="95">
        <v>5</v>
      </c>
      <c r="Q212" s="96">
        <f t="shared" si="9"/>
        <v>60</v>
      </c>
      <c r="S212" s="4">
        <v>0</v>
      </c>
      <c r="T212" s="4">
        <v>0</v>
      </c>
      <c r="U212" s="20">
        <f t="shared" si="12"/>
        <v>0</v>
      </c>
      <c r="V212" s="4"/>
      <c r="W212" s="4"/>
    </row>
    <row r="213" spans="7:23" ht="15.75" thickBot="1">
      <c r="G213" s="734"/>
      <c r="H213" s="736"/>
      <c r="I213" s="734"/>
      <c r="J213" s="734"/>
      <c r="K213" s="734"/>
      <c r="L213" s="688"/>
      <c r="M213" s="688"/>
      <c r="O213" s="13">
        <v>12</v>
      </c>
      <c r="P213" s="99">
        <v>6</v>
      </c>
      <c r="Q213" s="78">
        <f t="shared" ref="Q213:Q237" si="13">O213*P213</f>
        <v>72</v>
      </c>
      <c r="S213" s="4">
        <v>0</v>
      </c>
      <c r="T213" s="4">
        <v>0</v>
      </c>
      <c r="U213" s="20">
        <f t="shared" si="12"/>
        <v>0</v>
      </c>
      <c r="V213" s="4"/>
      <c r="W213" s="4"/>
    </row>
    <row r="214" spans="7:23">
      <c r="G214" s="743">
        <v>2</v>
      </c>
      <c r="H214" s="741" t="s">
        <v>83</v>
      </c>
      <c r="I214" s="743">
        <v>8005</v>
      </c>
      <c r="J214" s="743" t="s">
        <v>219</v>
      </c>
      <c r="K214" s="743" t="s">
        <v>220</v>
      </c>
      <c r="L214" s="745" t="s">
        <v>221</v>
      </c>
      <c r="M214" s="685">
        <v>264</v>
      </c>
      <c r="O214" s="252">
        <v>12</v>
      </c>
      <c r="P214" s="122">
        <v>5</v>
      </c>
      <c r="Q214" s="253">
        <f t="shared" si="13"/>
        <v>60</v>
      </c>
      <c r="R214" s="10"/>
      <c r="S214" s="4">
        <v>0</v>
      </c>
      <c r="T214" s="4">
        <v>0</v>
      </c>
      <c r="U214" s="20">
        <f t="shared" si="12"/>
        <v>0</v>
      </c>
      <c r="V214" s="4"/>
      <c r="W214" s="4"/>
    </row>
    <row r="215" spans="7:23">
      <c r="G215" s="743"/>
      <c r="H215" s="741"/>
      <c r="I215" s="743"/>
      <c r="J215" s="743"/>
      <c r="K215" s="743"/>
      <c r="L215" s="745"/>
      <c r="M215" s="686"/>
      <c r="O215" s="42">
        <v>12</v>
      </c>
      <c r="P215" s="95">
        <v>6</v>
      </c>
      <c r="Q215" s="96">
        <f t="shared" si="13"/>
        <v>72</v>
      </c>
      <c r="S215" s="4">
        <v>0</v>
      </c>
      <c r="T215" s="4">
        <v>0</v>
      </c>
      <c r="U215" s="20">
        <f t="shared" si="12"/>
        <v>0</v>
      </c>
      <c r="V215" s="4"/>
      <c r="W215" s="4"/>
    </row>
    <row r="216" spans="7:23">
      <c r="G216" s="743"/>
      <c r="H216" s="741"/>
      <c r="I216" s="743"/>
      <c r="J216" s="743"/>
      <c r="K216" s="743"/>
      <c r="L216" s="745"/>
      <c r="M216" s="686"/>
      <c r="O216" s="42">
        <v>12</v>
      </c>
      <c r="P216" s="95">
        <v>5</v>
      </c>
      <c r="Q216" s="96">
        <f t="shared" si="13"/>
        <v>60</v>
      </c>
      <c r="S216" s="4">
        <v>0</v>
      </c>
      <c r="T216" s="4">
        <v>0</v>
      </c>
      <c r="U216" s="20">
        <f t="shared" si="12"/>
        <v>0</v>
      </c>
      <c r="V216" s="4"/>
      <c r="W216" s="4"/>
    </row>
    <row r="217" spans="7:23" ht="15.75" thickBot="1">
      <c r="G217" s="743"/>
      <c r="H217" s="741"/>
      <c r="I217" s="743"/>
      <c r="J217" s="743"/>
      <c r="K217" s="743"/>
      <c r="L217" s="745"/>
      <c r="M217" s="688"/>
      <c r="O217" s="13">
        <v>12</v>
      </c>
      <c r="P217" s="99">
        <v>6</v>
      </c>
      <c r="Q217" s="78">
        <f t="shared" si="13"/>
        <v>72</v>
      </c>
      <c r="S217" s="4">
        <v>0</v>
      </c>
      <c r="T217" s="4">
        <v>0</v>
      </c>
      <c r="U217" s="20">
        <f t="shared" si="12"/>
        <v>0</v>
      </c>
      <c r="V217" s="4"/>
      <c r="W217" s="4"/>
    </row>
    <row r="218" spans="7:23">
      <c r="G218" s="743">
        <v>8</v>
      </c>
      <c r="H218" s="741" t="s">
        <v>84</v>
      </c>
      <c r="I218" s="743">
        <v>8010</v>
      </c>
      <c r="J218" s="743" t="s">
        <v>219</v>
      </c>
      <c r="K218" s="743" t="s">
        <v>220</v>
      </c>
      <c r="L218" s="745" t="s">
        <v>221</v>
      </c>
      <c r="M218" s="685">
        <v>264</v>
      </c>
      <c r="O218" s="252">
        <v>12</v>
      </c>
      <c r="P218" s="122">
        <v>5</v>
      </c>
      <c r="Q218" s="253">
        <f t="shared" si="13"/>
        <v>60</v>
      </c>
      <c r="R218" s="10"/>
      <c r="S218" s="4">
        <v>0</v>
      </c>
      <c r="T218" s="4">
        <v>0</v>
      </c>
      <c r="U218" s="20">
        <f t="shared" si="12"/>
        <v>0</v>
      </c>
      <c r="V218" s="4"/>
      <c r="W218" s="4"/>
    </row>
    <row r="219" spans="7:23">
      <c r="G219" s="743"/>
      <c r="H219" s="741"/>
      <c r="I219" s="743"/>
      <c r="J219" s="743"/>
      <c r="K219" s="743"/>
      <c r="L219" s="745"/>
      <c r="M219" s="686"/>
      <c r="O219" s="42">
        <v>12</v>
      </c>
      <c r="P219" s="95">
        <v>6</v>
      </c>
      <c r="Q219" s="96">
        <f t="shared" si="13"/>
        <v>72</v>
      </c>
      <c r="S219" s="4">
        <v>0</v>
      </c>
      <c r="T219" s="4">
        <v>0</v>
      </c>
      <c r="U219" s="20">
        <f t="shared" si="12"/>
        <v>0</v>
      </c>
      <c r="V219" s="4"/>
      <c r="W219" s="4"/>
    </row>
    <row r="220" spans="7:23">
      <c r="G220" s="743"/>
      <c r="H220" s="741"/>
      <c r="I220" s="743"/>
      <c r="J220" s="743"/>
      <c r="K220" s="743"/>
      <c r="L220" s="745"/>
      <c r="M220" s="686"/>
      <c r="O220" s="42">
        <v>12</v>
      </c>
      <c r="P220" s="95">
        <v>5</v>
      </c>
      <c r="Q220" s="96">
        <f t="shared" si="13"/>
        <v>60</v>
      </c>
      <c r="S220" s="4">
        <v>0</v>
      </c>
      <c r="T220" s="4">
        <v>0</v>
      </c>
      <c r="U220" s="20">
        <f t="shared" si="12"/>
        <v>0</v>
      </c>
      <c r="V220" s="4"/>
      <c r="W220" s="4"/>
    </row>
    <row r="221" spans="7:23" ht="15.75" thickBot="1">
      <c r="G221" s="743"/>
      <c r="H221" s="741"/>
      <c r="I221" s="743"/>
      <c r="J221" s="743"/>
      <c r="K221" s="743"/>
      <c r="L221" s="745"/>
      <c r="M221" s="688"/>
      <c r="O221" s="13">
        <v>12</v>
      </c>
      <c r="P221" s="99">
        <v>6</v>
      </c>
      <c r="Q221" s="78">
        <f t="shared" si="13"/>
        <v>72</v>
      </c>
      <c r="S221" s="4">
        <v>0</v>
      </c>
      <c r="T221" s="4">
        <v>0</v>
      </c>
      <c r="U221" s="20">
        <f t="shared" si="12"/>
        <v>0</v>
      </c>
      <c r="V221" s="4"/>
      <c r="W221" s="4"/>
    </row>
    <row r="222" spans="7:23">
      <c r="G222" s="743">
        <v>4</v>
      </c>
      <c r="H222" s="741" t="s">
        <v>86</v>
      </c>
      <c r="I222" s="743">
        <v>8013</v>
      </c>
      <c r="J222" s="743" t="s">
        <v>219</v>
      </c>
      <c r="K222" s="743" t="s">
        <v>220</v>
      </c>
      <c r="L222" s="745" t="s">
        <v>221</v>
      </c>
      <c r="M222" s="685">
        <v>264</v>
      </c>
      <c r="O222" s="252">
        <v>12</v>
      </c>
      <c r="P222" s="122">
        <v>5</v>
      </c>
      <c r="Q222" s="253">
        <f t="shared" si="13"/>
        <v>60</v>
      </c>
      <c r="R222" s="10"/>
      <c r="S222" s="4">
        <v>0</v>
      </c>
      <c r="T222" s="4">
        <v>0</v>
      </c>
      <c r="U222" s="20">
        <f t="shared" si="12"/>
        <v>0</v>
      </c>
      <c r="V222" s="4"/>
      <c r="W222" s="4"/>
    </row>
    <row r="223" spans="7:23">
      <c r="G223" s="743"/>
      <c r="H223" s="741"/>
      <c r="I223" s="743"/>
      <c r="J223" s="743"/>
      <c r="K223" s="743"/>
      <c r="L223" s="745"/>
      <c r="M223" s="686"/>
      <c r="O223" s="42">
        <v>12</v>
      </c>
      <c r="P223" s="95">
        <v>6</v>
      </c>
      <c r="Q223" s="96">
        <f t="shared" si="13"/>
        <v>72</v>
      </c>
      <c r="S223" s="4">
        <v>0</v>
      </c>
      <c r="T223" s="4">
        <v>0</v>
      </c>
      <c r="U223" s="20">
        <f t="shared" si="12"/>
        <v>0</v>
      </c>
      <c r="V223" s="4"/>
      <c r="W223" s="4"/>
    </row>
    <row r="224" spans="7:23">
      <c r="G224" s="743"/>
      <c r="H224" s="741"/>
      <c r="I224" s="743"/>
      <c r="J224" s="743"/>
      <c r="K224" s="743"/>
      <c r="L224" s="745"/>
      <c r="M224" s="686"/>
      <c r="O224" s="42">
        <v>12</v>
      </c>
      <c r="P224" s="95">
        <v>5</v>
      </c>
      <c r="Q224" s="96">
        <f t="shared" si="13"/>
        <v>60</v>
      </c>
      <c r="S224" s="4">
        <v>0</v>
      </c>
      <c r="T224" s="4">
        <v>0</v>
      </c>
      <c r="U224" s="20">
        <f t="shared" si="12"/>
        <v>0</v>
      </c>
      <c r="V224" s="4"/>
      <c r="W224" s="4"/>
    </row>
    <row r="225" spans="7:23" ht="15.75" thickBot="1">
      <c r="G225" s="743"/>
      <c r="H225" s="741"/>
      <c r="I225" s="743"/>
      <c r="J225" s="743"/>
      <c r="K225" s="743"/>
      <c r="L225" s="745"/>
      <c r="M225" s="688"/>
      <c r="O225" s="13">
        <v>12</v>
      </c>
      <c r="P225" s="99">
        <v>6</v>
      </c>
      <c r="Q225" s="78">
        <f t="shared" si="13"/>
        <v>72</v>
      </c>
      <c r="S225" s="4">
        <v>0</v>
      </c>
      <c r="T225" s="4">
        <v>0</v>
      </c>
      <c r="U225" s="20">
        <f t="shared" si="12"/>
        <v>0</v>
      </c>
      <c r="V225" s="4"/>
      <c r="W225" s="4"/>
    </row>
    <row r="226" spans="7:23" ht="15.75" thickBot="1">
      <c r="G226" s="306">
        <v>1</v>
      </c>
      <c r="H226" s="307" t="s">
        <v>86</v>
      </c>
      <c r="I226" s="308">
        <v>8013</v>
      </c>
      <c r="J226" s="308">
        <v>72</v>
      </c>
      <c r="K226" s="308" t="s">
        <v>348</v>
      </c>
      <c r="L226" s="309" t="s">
        <v>221</v>
      </c>
      <c r="M226" s="222">
        <f>+G226*J226</f>
        <v>72</v>
      </c>
      <c r="O226" s="59">
        <v>12</v>
      </c>
      <c r="P226" s="303">
        <v>6</v>
      </c>
      <c r="Q226" s="310">
        <f t="shared" si="13"/>
        <v>72</v>
      </c>
      <c r="S226" s="4">
        <v>0</v>
      </c>
      <c r="T226" s="4">
        <v>0</v>
      </c>
      <c r="U226" s="20">
        <v>0</v>
      </c>
      <c r="V226" s="4"/>
      <c r="W226" s="4"/>
    </row>
    <row r="227" spans="7:23" ht="15.75" thickBot="1">
      <c r="G227" s="191">
        <v>2</v>
      </c>
      <c r="H227" s="152" t="s">
        <v>88</v>
      </c>
      <c r="I227" s="146">
        <v>8015</v>
      </c>
      <c r="J227" s="43">
        <v>60</v>
      </c>
      <c r="K227" s="43" t="s">
        <v>220</v>
      </c>
      <c r="L227" s="31" t="s">
        <v>221</v>
      </c>
      <c r="M227" s="31">
        <f>+J227</f>
        <v>60</v>
      </c>
      <c r="O227" s="299">
        <v>12</v>
      </c>
      <c r="P227" s="299">
        <v>5</v>
      </c>
      <c r="Q227" s="300">
        <f t="shared" si="13"/>
        <v>60</v>
      </c>
      <c r="R227" s="10"/>
      <c r="S227" s="4">
        <v>0</v>
      </c>
      <c r="T227" s="4">
        <v>0</v>
      </c>
      <c r="U227" s="20">
        <f t="shared" si="12"/>
        <v>0</v>
      </c>
      <c r="V227" s="4"/>
      <c r="W227" s="4"/>
    </row>
    <row r="228" spans="7:23">
      <c r="G228" s="779">
        <v>1</v>
      </c>
      <c r="H228" s="735" t="s">
        <v>88</v>
      </c>
      <c r="I228" s="733">
        <v>8015</v>
      </c>
      <c r="J228" s="733" t="s">
        <v>219</v>
      </c>
      <c r="K228" s="733" t="s">
        <v>220</v>
      </c>
      <c r="L228" s="737" t="s">
        <v>221</v>
      </c>
      <c r="M228" s="685">
        <v>264</v>
      </c>
      <c r="O228" s="252">
        <v>12</v>
      </c>
      <c r="P228" s="122">
        <v>5</v>
      </c>
      <c r="Q228" s="253">
        <f t="shared" si="13"/>
        <v>60</v>
      </c>
      <c r="R228" s="10"/>
      <c r="S228" s="4"/>
      <c r="T228" s="4"/>
      <c r="U228" s="20"/>
      <c r="V228" s="4"/>
      <c r="W228" s="4"/>
    </row>
    <row r="229" spans="7:23">
      <c r="G229" s="721"/>
      <c r="H229" s="702"/>
      <c r="I229" s="704"/>
      <c r="J229" s="704"/>
      <c r="K229" s="704"/>
      <c r="L229" s="686"/>
      <c r="M229" s="686"/>
      <c r="O229" s="42">
        <v>12</v>
      </c>
      <c r="P229" s="95">
        <v>6</v>
      </c>
      <c r="Q229" s="96">
        <f t="shared" si="13"/>
        <v>72</v>
      </c>
      <c r="R229" s="10"/>
      <c r="S229" s="4"/>
      <c r="T229" s="4"/>
      <c r="U229" s="20"/>
      <c r="V229" s="4"/>
      <c r="W229" s="4"/>
    </row>
    <row r="230" spans="7:23">
      <c r="G230" s="721"/>
      <c r="H230" s="702"/>
      <c r="I230" s="704"/>
      <c r="J230" s="704"/>
      <c r="K230" s="704"/>
      <c r="L230" s="686"/>
      <c r="M230" s="686"/>
      <c r="O230" s="42">
        <v>12</v>
      </c>
      <c r="P230" s="95">
        <v>5</v>
      </c>
      <c r="Q230" s="96">
        <f t="shared" si="13"/>
        <v>60</v>
      </c>
      <c r="R230" s="10"/>
      <c r="S230" s="4"/>
      <c r="T230" s="4"/>
      <c r="U230" s="20"/>
      <c r="V230" s="4"/>
      <c r="W230" s="4"/>
    </row>
    <row r="231" spans="7:23" ht="15.75" thickBot="1">
      <c r="G231" s="763"/>
      <c r="H231" s="736"/>
      <c r="I231" s="734"/>
      <c r="J231" s="734"/>
      <c r="K231" s="734"/>
      <c r="L231" s="688"/>
      <c r="M231" s="687"/>
      <c r="O231" s="13">
        <v>12</v>
      </c>
      <c r="P231" s="99">
        <v>6</v>
      </c>
      <c r="Q231" s="78">
        <f t="shared" si="13"/>
        <v>72</v>
      </c>
      <c r="R231" s="10"/>
      <c r="S231" s="4"/>
      <c r="T231" s="4"/>
      <c r="U231" s="20"/>
      <c r="V231" s="4"/>
      <c r="W231" s="4"/>
    </row>
    <row r="232" spans="7:23" ht="15.75" thickBot="1">
      <c r="G232" s="280">
        <v>1</v>
      </c>
      <c r="H232" s="151" t="s">
        <v>88</v>
      </c>
      <c r="I232" s="145">
        <v>8015</v>
      </c>
      <c r="J232" s="145">
        <v>50</v>
      </c>
      <c r="K232" s="145" t="s">
        <v>220</v>
      </c>
      <c r="L232" s="80" t="s">
        <v>221</v>
      </c>
      <c r="M232" s="80">
        <f>+G232*J232</f>
        <v>50</v>
      </c>
      <c r="O232" s="240">
        <v>10</v>
      </c>
      <c r="P232" s="7">
        <v>5</v>
      </c>
      <c r="Q232" s="79">
        <f t="shared" si="13"/>
        <v>50</v>
      </c>
      <c r="R232" s="10"/>
      <c r="S232" s="4">
        <v>0</v>
      </c>
      <c r="T232" s="4">
        <v>0</v>
      </c>
      <c r="U232" s="20">
        <f t="shared" ref="U232:U284" si="14">S232*T232</f>
        <v>0</v>
      </c>
      <c r="V232" s="4"/>
      <c r="W232" s="4"/>
    </row>
    <row r="233" spans="7:23">
      <c r="G233" s="738">
        <v>2</v>
      </c>
      <c r="H233" s="740" t="s">
        <v>90</v>
      </c>
      <c r="I233" s="742">
        <v>8006</v>
      </c>
      <c r="J233" s="742" t="s">
        <v>219</v>
      </c>
      <c r="K233" s="742" t="s">
        <v>220</v>
      </c>
      <c r="L233" s="744" t="s">
        <v>221</v>
      </c>
      <c r="M233" s="744">
        <v>264</v>
      </c>
      <c r="O233" s="252">
        <v>12</v>
      </c>
      <c r="P233" s="122">
        <v>5</v>
      </c>
      <c r="Q233" s="253">
        <f t="shared" si="13"/>
        <v>60</v>
      </c>
      <c r="R233" s="10"/>
      <c r="S233" s="4">
        <v>0</v>
      </c>
      <c r="T233" s="4">
        <v>0</v>
      </c>
      <c r="U233" s="20">
        <f t="shared" si="14"/>
        <v>0</v>
      </c>
      <c r="V233" s="4"/>
      <c r="W233" s="4"/>
    </row>
    <row r="234" spans="7:23">
      <c r="G234" s="739"/>
      <c r="H234" s="741"/>
      <c r="I234" s="743"/>
      <c r="J234" s="743"/>
      <c r="K234" s="743"/>
      <c r="L234" s="745"/>
      <c r="M234" s="745"/>
      <c r="O234" s="42">
        <v>12</v>
      </c>
      <c r="P234" s="95">
        <v>6</v>
      </c>
      <c r="Q234" s="96">
        <f t="shared" si="13"/>
        <v>72</v>
      </c>
      <c r="S234" s="4">
        <v>0</v>
      </c>
      <c r="T234" s="4">
        <v>0</v>
      </c>
      <c r="U234" s="20">
        <f t="shared" si="14"/>
        <v>0</v>
      </c>
      <c r="V234" s="4"/>
      <c r="W234" s="4"/>
    </row>
    <row r="235" spans="7:23">
      <c r="G235" s="739"/>
      <c r="H235" s="741"/>
      <c r="I235" s="743"/>
      <c r="J235" s="743"/>
      <c r="K235" s="743"/>
      <c r="L235" s="745"/>
      <c r="M235" s="745"/>
      <c r="O235" s="42">
        <v>12</v>
      </c>
      <c r="P235" s="95">
        <v>5</v>
      </c>
      <c r="Q235" s="96">
        <f t="shared" si="13"/>
        <v>60</v>
      </c>
      <c r="S235" s="4">
        <v>0</v>
      </c>
      <c r="T235" s="4">
        <v>0</v>
      </c>
      <c r="U235" s="20">
        <f t="shared" si="14"/>
        <v>0</v>
      </c>
      <c r="V235" s="4"/>
      <c r="W235" s="4"/>
    </row>
    <row r="236" spans="7:23" ht="15.75" thickBot="1">
      <c r="G236" s="739"/>
      <c r="H236" s="741"/>
      <c r="I236" s="743"/>
      <c r="J236" s="743"/>
      <c r="K236" s="743"/>
      <c r="L236" s="745"/>
      <c r="M236" s="745"/>
      <c r="O236" s="13">
        <v>12</v>
      </c>
      <c r="P236" s="99">
        <v>6</v>
      </c>
      <c r="Q236" s="78">
        <f t="shared" si="13"/>
        <v>72</v>
      </c>
      <c r="S236" s="4">
        <v>0</v>
      </c>
      <c r="T236" s="4">
        <v>0</v>
      </c>
      <c r="U236" s="20">
        <f t="shared" si="14"/>
        <v>0</v>
      </c>
      <c r="V236" s="4"/>
      <c r="W236" s="4"/>
    </row>
    <row r="237" spans="7:23" ht="15.75" thickBot="1">
      <c r="G237" s="62">
        <v>1</v>
      </c>
      <c r="H237" s="149" t="s">
        <v>90</v>
      </c>
      <c r="I237" s="144">
        <v>8006</v>
      </c>
      <c r="J237" s="62">
        <v>48</v>
      </c>
      <c r="K237" s="62" t="s">
        <v>220</v>
      </c>
      <c r="L237" s="59" t="s">
        <v>221</v>
      </c>
      <c r="M237" s="59">
        <f>+G237*J237</f>
        <v>48</v>
      </c>
      <c r="O237" s="4">
        <v>8</v>
      </c>
      <c r="P237" s="4">
        <v>6</v>
      </c>
      <c r="Q237" s="96">
        <f t="shared" si="13"/>
        <v>48</v>
      </c>
      <c r="R237" s="10"/>
      <c r="S237" s="4">
        <v>0</v>
      </c>
      <c r="T237" s="4">
        <v>0</v>
      </c>
      <c r="U237" s="20">
        <f t="shared" si="14"/>
        <v>0</v>
      </c>
      <c r="V237" s="4"/>
      <c r="W237" s="4"/>
    </row>
    <row r="238" spans="7:23" ht="15.75" thickBot="1">
      <c r="G238" s="85">
        <v>1</v>
      </c>
      <c r="H238" s="147" t="s">
        <v>92</v>
      </c>
      <c r="I238" s="84">
        <v>8016</v>
      </c>
      <c r="J238" s="85">
        <v>72</v>
      </c>
      <c r="K238" s="85" t="s">
        <v>220</v>
      </c>
      <c r="L238" s="80" t="s">
        <v>221</v>
      </c>
      <c r="M238" s="80">
        <f>+G238*J238</f>
        <v>72</v>
      </c>
      <c r="O238" s="36">
        <v>12</v>
      </c>
      <c r="P238" s="36">
        <v>6</v>
      </c>
      <c r="Q238" s="77">
        <f>O238*P238</f>
        <v>72</v>
      </c>
      <c r="R238" s="10"/>
      <c r="S238" s="4">
        <v>0</v>
      </c>
      <c r="T238" s="4">
        <v>0</v>
      </c>
      <c r="U238" s="20">
        <f t="shared" si="14"/>
        <v>0</v>
      </c>
      <c r="V238" s="4"/>
      <c r="W238" s="4"/>
    </row>
    <row r="239" spans="7:23">
      <c r="G239" s="738">
        <v>1</v>
      </c>
      <c r="H239" s="740" t="s">
        <v>93</v>
      </c>
      <c r="I239" s="742">
        <v>8024</v>
      </c>
      <c r="J239" s="742" t="s">
        <v>219</v>
      </c>
      <c r="K239" s="742" t="s">
        <v>220</v>
      </c>
      <c r="L239" s="744" t="s">
        <v>221</v>
      </c>
      <c r="M239" s="744">
        <v>264</v>
      </c>
      <c r="O239" s="252">
        <v>12</v>
      </c>
      <c r="P239" s="122">
        <v>5</v>
      </c>
      <c r="Q239" s="253">
        <f t="shared" ref="Q239:Q254" si="15">O239*P239</f>
        <v>60</v>
      </c>
      <c r="R239" s="10"/>
      <c r="S239" s="4">
        <v>0</v>
      </c>
      <c r="T239" s="4">
        <v>0</v>
      </c>
      <c r="U239" s="20">
        <f t="shared" si="14"/>
        <v>0</v>
      </c>
      <c r="V239" s="4"/>
      <c r="W239" s="4"/>
    </row>
    <row r="240" spans="7:23">
      <c r="G240" s="739"/>
      <c r="H240" s="741"/>
      <c r="I240" s="743"/>
      <c r="J240" s="743"/>
      <c r="K240" s="743"/>
      <c r="L240" s="745"/>
      <c r="M240" s="745"/>
      <c r="O240" s="42">
        <v>12</v>
      </c>
      <c r="P240" s="95">
        <v>6</v>
      </c>
      <c r="Q240" s="96">
        <f t="shared" si="15"/>
        <v>72</v>
      </c>
      <c r="S240" s="4">
        <v>0</v>
      </c>
      <c r="T240" s="4">
        <v>0</v>
      </c>
      <c r="U240" s="20">
        <f t="shared" si="14"/>
        <v>0</v>
      </c>
      <c r="V240" s="4"/>
      <c r="W240" s="4"/>
    </row>
    <row r="241" spans="7:23">
      <c r="G241" s="739"/>
      <c r="H241" s="741"/>
      <c r="I241" s="743"/>
      <c r="J241" s="743"/>
      <c r="K241" s="743"/>
      <c r="L241" s="745"/>
      <c r="M241" s="745"/>
      <c r="O241" s="42">
        <v>12</v>
      </c>
      <c r="P241" s="95">
        <v>5</v>
      </c>
      <c r="Q241" s="96">
        <f t="shared" si="15"/>
        <v>60</v>
      </c>
      <c r="S241" s="4">
        <v>0</v>
      </c>
      <c r="T241" s="4">
        <v>0</v>
      </c>
      <c r="U241" s="20">
        <f t="shared" si="14"/>
        <v>0</v>
      </c>
      <c r="V241" s="4"/>
      <c r="W241" s="4"/>
    </row>
    <row r="242" spans="7:23" ht="15.75" thickBot="1">
      <c r="G242" s="779"/>
      <c r="H242" s="735"/>
      <c r="I242" s="733"/>
      <c r="J242" s="733"/>
      <c r="K242" s="733"/>
      <c r="L242" s="737"/>
      <c r="M242" s="737"/>
      <c r="O242" s="42">
        <v>12</v>
      </c>
      <c r="P242" s="95">
        <v>6</v>
      </c>
      <c r="Q242" s="97">
        <f t="shared" si="15"/>
        <v>72</v>
      </c>
      <c r="S242" s="4">
        <v>0</v>
      </c>
      <c r="T242" s="4">
        <v>0</v>
      </c>
      <c r="U242" s="20">
        <f t="shared" si="14"/>
        <v>0</v>
      </c>
      <c r="V242" s="4"/>
      <c r="W242" s="4"/>
    </row>
    <row r="243" spans="7:23">
      <c r="G243" s="720">
        <v>3</v>
      </c>
      <c r="H243" s="710" t="s">
        <v>237</v>
      </c>
      <c r="I243" s="711">
        <v>8013</v>
      </c>
      <c r="J243" s="711" t="s">
        <v>219</v>
      </c>
      <c r="K243" s="711" t="s">
        <v>220</v>
      </c>
      <c r="L243" s="685" t="s">
        <v>221</v>
      </c>
      <c r="M243" s="744">
        <v>264</v>
      </c>
      <c r="O243" s="252">
        <v>12</v>
      </c>
      <c r="P243" s="122">
        <v>5</v>
      </c>
      <c r="Q243" s="253">
        <f t="shared" si="15"/>
        <v>60</v>
      </c>
      <c r="R243" s="10"/>
      <c r="S243" s="4">
        <v>0</v>
      </c>
      <c r="T243" s="4">
        <v>0</v>
      </c>
      <c r="U243" s="20">
        <f t="shared" si="14"/>
        <v>0</v>
      </c>
      <c r="V243" s="4"/>
      <c r="W243" s="4"/>
    </row>
    <row r="244" spans="7:23">
      <c r="G244" s="721"/>
      <c r="H244" s="702"/>
      <c r="I244" s="704"/>
      <c r="J244" s="704"/>
      <c r="K244" s="704"/>
      <c r="L244" s="686"/>
      <c r="M244" s="745"/>
      <c r="O244" s="42">
        <v>12</v>
      </c>
      <c r="P244" s="95">
        <v>6</v>
      </c>
      <c r="Q244" s="96">
        <f t="shared" si="15"/>
        <v>72</v>
      </c>
      <c r="R244" s="10"/>
      <c r="S244" s="4">
        <v>0</v>
      </c>
      <c r="T244" s="4">
        <v>0</v>
      </c>
      <c r="U244" s="20">
        <f t="shared" si="14"/>
        <v>0</v>
      </c>
      <c r="V244" s="4"/>
      <c r="W244" s="4"/>
    </row>
    <row r="245" spans="7:23">
      <c r="G245" s="721"/>
      <c r="H245" s="702"/>
      <c r="I245" s="704"/>
      <c r="J245" s="704"/>
      <c r="K245" s="704"/>
      <c r="L245" s="686"/>
      <c r="M245" s="745"/>
      <c r="O245" s="42">
        <v>12</v>
      </c>
      <c r="P245" s="95">
        <v>5</v>
      </c>
      <c r="Q245" s="96">
        <f t="shared" si="15"/>
        <v>60</v>
      </c>
      <c r="R245" s="10"/>
      <c r="S245" s="4">
        <v>0</v>
      </c>
      <c r="T245" s="4">
        <v>0</v>
      </c>
      <c r="U245" s="20">
        <f t="shared" si="14"/>
        <v>0</v>
      </c>
      <c r="V245" s="4"/>
      <c r="W245" s="4"/>
    </row>
    <row r="246" spans="7:23" ht="15.75" thickBot="1">
      <c r="G246" s="722"/>
      <c r="H246" s="703"/>
      <c r="I246" s="705"/>
      <c r="J246" s="705"/>
      <c r="K246" s="705"/>
      <c r="L246" s="687"/>
      <c r="M246" s="737"/>
      <c r="O246" s="13">
        <v>12</v>
      </c>
      <c r="P246" s="99">
        <v>6</v>
      </c>
      <c r="Q246" s="78">
        <f t="shared" si="15"/>
        <v>72</v>
      </c>
      <c r="R246" s="10"/>
      <c r="S246" s="4">
        <v>0</v>
      </c>
      <c r="T246" s="4">
        <v>0</v>
      </c>
      <c r="U246" s="20">
        <f t="shared" si="14"/>
        <v>0</v>
      </c>
      <c r="V246" s="4"/>
      <c r="W246" s="4"/>
    </row>
    <row r="247" spans="7:23">
      <c r="G247" s="738">
        <v>2</v>
      </c>
      <c r="H247" s="740" t="s">
        <v>94</v>
      </c>
      <c r="I247" s="742">
        <v>8007</v>
      </c>
      <c r="J247" s="742" t="s">
        <v>219</v>
      </c>
      <c r="K247" s="742" t="s">
        <v>220</v>
      </c>
      <c r="L247" s="744" t="s">
        <v>221</v>
      </c>
      <c r="M247" s="744">
        <v>264</v>
      </c>
      <c r="O247" s="252">
        <v>12</v>
      </c>
      <c r="P247" s="122">
        <v>5</v>
      </c>
      <c r="Q247" s="253">
        <f t="shared" si="15"/>
        <v>60</v>
      </c>
      <c r="R247" s="10"/>
      <c r="S247" s="4">
        <v>0</v>
      </c>
      <c r="T247" s="4">
        <v>0</v>
      </c>
      <c r="U247" s="20">
        <f t="shared" si="14"/>
        <v>0</v>
      </c>
      <c r="V247" s="4"/>
      <c r="W247" s="4"/>
    </row>
    <row r="248" spans="7:23">
      <c r="G248" s="739"/>
      <c r="H248" s="741"/>
      <c r="I248" s="743"/>
      <c r="J248" s="743"/>
      <c r="K248" s="743"/>
      <c r="L248" s="745"/>
      <c r="M248" s="745"/>
      <c r="O248" s="42">
        <v>12</v>
      </c>
      <c r="P248" s="95">
        <v>6</v>
      </c>
      <c r="Q248" s="96">
        <f t="shared" si="15"/>
        <v>72</v>
      </c>
      <c r="S248" s="4">
        <v>0</v>
      </c>
      <c r="T248" s="4">
        <v>0</v>
      </c>
      <c r="U248" s="20">
        <f t="shared" si="14"/>
        <v>0</v>
      </c>
      <c r="V248" s="4"/>
      <c r="W248" s="4"/>
    </row>
    <row r="249" spans="7:23">
      <c r="G249" s="739"/>
      <c r="H249" s="741"/>
      <c r="I249" s="743"/>
      <c r="J249" s="743"/>
      <c r="K249" s="743"/>
      <c r="L249" s="745"/>
      <c r="M249" s="745"/>
      <c r="O249" s="42">
        <v>12</v>
      </c>
      <c r="P249" s="95">
        <v>5</v>
      </c>
      <c r="Q249" s="96">
        <f t="shared" si="15"/>
        <v>60</v>
      </c>
      <c r="S249" s="4">
        <v>0</v>
      </c>
      <c r="T249" s="4">
        <v>0</v>
      </c>
      <c r="U249" s="20">
        <f t="shared" si="14"/>
        <v>0</v>
      </c>
      <c r="V249" s="4"/>
      <c r="W249" s="4"/>
    </row>
    <row r="250" spans="7:23" ht="15.75" thickBot="1">
      <c r="G250" s="764"/>
      <c r="H250" s="747"/>
      <c r="I250" s="746"/>
      <c r="J250" s="746"/>
      <c r="K250" s="746"/>
      <c r="L250" s="748"/>
      <c r="M250" s="748"/>
      <c r="O250" s="13">
        <v>12</v>
      </c>
      <c r="P250" s="99">
        <v>6</v>
      </c>
      <c r="Q250" s="78">
        <f t="shared" si="15"/>
        <v>72</v>
      </c>
      <c r="S250" s="4">
        <v>0</v>
      </c>
      <c r="T250" s="4">
        <v>0</v>
      </c>
      <c r="U250" s="20">
        <f t="shared" si="14"/>
        <v>0</v>
      </c>
      <c r="V250" s="4"/>
      <c r="W250" s="4"/>
    </row>
    <row r="251" spans="7:23">
      <c r="G251" s="738">
        <v>1</v>
      </c>
      <c r="H251" s="740" t="s">
        <v>94</v>
      </c>
      <c r="I251" s="742">
        <v>8008</v>
      </c>
      <c r="J251" s="742">
        <v>66.5</v>
      </c>
      <c r="K251" s="742" t="s">
        <v>220</v>
      </c>
      <c r="L251" s="744" t="s">
        <v>221</v>
      </c>
      <c r="M251" s="744">
        <f>+J251</f>
        <v>66.5</v>
      </c>
      <c r="O251" s="224">
        <v>12</v>
      </c>
      <c r="P251" s="301">
        <v>3</v>
      </c>
      <c r="Q251" s="302">
        <f t="shared" si="15"/>
        <v>36</v>
      </c>
      <c r="S251" s="4">
        <v>0</v>
      </c>
      <c r="T251" s="4">
        <v>0</v>
      </c>
      <c r="U251" s="20">
        <f t="shared" si="14"/>
        <v>0</v>
      </c>
      <c r="V251" s="4"/>
      <c r="W251" s="4"/>
    </row>
    <row r="252" spans="7:23">
      <c r="G252" s="739"/>
      <c r="H252" s="741"/>
      <c r="I252" s="743"/>
      <c r="J252" s="743"/>
      <c r="K252" s="743"/>
      <c r="L252" s="745"/>
      <c r="M252" s="745"/>
      <c r="O252" s="80">
        <v>12.5</v>
      </c>
      <c r="P252" s="150">
        <v>1</v>
      </c>
      <c r="Q252" s="102">
        <f t="shared" si="15"/>
        <v>12.5</v>
      </c>
      <c r="S252" s="4">
        <v>0</v>
      </c>
      <c r="T252" s="4">
        <v>0</v>
      </c>
      <c r="U252" s="20">
        <f t="shared" si="14"/>
        <v>0</v>
      </c>
      <c r="V252" s="4"/>
      <c r="W252" s="4"/>
    </row>
    <row r="253" spans="7:23">
      <c r="G253" s="739"/>
      <c r="H253" s="741"/>
      <c r="I253" s="743"/>
      <c r="J253" s="743"/>
      <c r="K253" s="743"/>
      <c r="L253" s="745"/>
      <c r="M253" s="745"/>
      <c r="O253" s="187">
        <v>10</v>
      </c>
      <c r="P253" s="188">
        <v>1</v>
      </c>
      <c r="Q253" s="189">
        <f t="shared" si="15"/>
        <v>10</v>
      </c>
      <c r="S253" s="4">
        <v>0</v>
      </c>
      <c r="T253" s="4">
        <v>0</v>
      </c>
      <c r="U253" s="20">
        <f t="shared" si="14"/>
        <v>0</v>
      </c>
      <c r="V253" s="4"/>
      <c r="W253" s="4"/>
    </row>
    <row r="254" spans="7:23" ht="15.75" thickBot="1">
      <c r="G254" s="764"/>
      <c r="H254" s="747"/>
      <c r="I254" s="746"/>
      <c r="J254" s="746"/>
      <c r="K254" s="746"/>
      <c r="L254" s="748"/>
      <c r="M254" s="748"/>
      <c r="O254" s="59">
        <v>8</v>
      </c>
      <c r="P254" s="303">
        <v>1</v>
      </c>
      <c r="Q254" s="81">
        <f t="shared" si="15"/>
        <v>8</v>
      </c>
      <c r="S254" s="4">
        <v>0</v>
      </c>
      <c r="T254" s="4">
        <v>0</v>
      </c>
      <c r="U254" s="20">
        <f t="shared" si="14"/>
        <v>0</v>
      </c>
      <c r="V254" s="4"/>
      <c r="W254" s="4"/>
    </row>
    <row r="255" spans="7:23">
      <c r="G255" s="34">
        <v>2</v>
      </c>
      <c r="H255" s="153" t="s">
        <v>95</v>
      </c>
      <c r="I255" s="72">
        <v>8015</v>
      </c>
      <c r="J255" s="34">
        <v>60</v>
      </c>
      <c r="K255" s="43" t="s">
        <v>220</v>
      </c>
      <c r="L255" s="24" t="s">
        <v>221</v>
      </c>
      <c r="M255" s="42">
        <v>60</v>
      </c>
      <c r="O255" s="7">
        <v>12</v>
      </c>
      <c r="P255" s="7">
        <v>5</v>
      </c>
      <c r="Q255" s="79">
        <f>O255*P255</f>
        <v>60</v>
      </c>
      <c r="R255" s="10"/>
      <c r="S255" s="4">
        <v>0</v>
      </c>
      <c r="T255" s="4">
        <v>0</v>
      </c>
      <c r="U255" s="20">
        <f t="shared" si="14"/>
        <v>0</v>
      </c>
      <c r="V255" s="4"/>
      <c r="W255" s="4"/>
    </row>
    <row r="256" spans="7:23" ht="15.75" thickBot="1">
      <c r="G256" s="296">
        <v>1</v>
      </c>
      <c r="H256" s="154" t="s">
        <v>95</v>
      </c>
      <c r="I256" s="83">
        <v>8015</v>
      </c>
      <c r="J256" s="296">
        <v>48</v>
      </c>
      <c r="K256" s="85" t="s">
        <v>220</v>
      </c>
      <c r="L256" s="42" t="s">
        <v>221</v>
      </c>
      <c r="M256" s="42">
        <v>48</v>
      </c>
      <c r="O256" s="36">
        <v>12</v>
      </c>
      <c r="P256" s="36">
        <v>4</v>
      </c>
      <c r="Q256" s="77">
        <f>O256*P256</f>
        <v>48</v>
      </c>
      <c r="R256" s="10"/>
      <c r="S256" s="4">
        <v>0</v>
      </c>
      <c r="T256" s="4">
        <v>0</v>
      </c>
      <c r="U256" s="20">
        <f t="shared" si="14"/>
        <v>0</v>
      </c>
      <c r="V256" s="4"/>
      <c r="W256" s="4"/>
    </row>
    <row r="257" spans="7:23">
      <c r="G257" s="720">
        <v>1</v>
      </c>
      <c r="H257" s="751" t="s">
        <v>96</v>
      </c>
      <c r="I257" s="221">
        <v>8015</v>
      </c>
      <c r="J257" s="711">
        <v>65.5</v>
      </c>
      <c r="K257" s="711" t="s">
        <v>220</v>
      </c>
      <c r="L257" s="685" t="s">
        <v>221</v>
      </c>
      <c r="M257" s="685">
        <f>+J257</f>
        <v>65.5</v>
      </c>
      <c r="O257" s="252">
        <v>12</v>
      </c>
      <c r="P257" s="252">
        <v>5</v>
      </c>
      <c r="Q257" s="302">
        <f>O257*P257</f>
        <v>60</v>
      </c>
      <c r="R257" s="10"/>
      <c r="S257" s="4">
        <v>0</v>
      </c>
      <c r="T257" s="4">
        <v>0</v>
      </c>
      <c r="U257" s="20">
        <f t="shared" si="14"/>
        <v>0</v>
      </c>
      <c r="V257" s="4"/>
      <c r="W257" s="4"/>
    </row>
    <row r="258" spans="7:23" ht="15.75" thickBot="1">
      <c r="G258" s="722"/>
      <c r="H258" s="752"/>
      <c r="I258" s="62"/>
      <c r="J258" s="705"/>
      <c r="K258" s="705"/>
      <c r="L258" s="687"/>
      <c r="M258" s="687"/>
      <c r="O258" s="5">
        <v>5.5</v>
      </c>
      <c r="P258" s="5">
        <v>1</v>
      </c>
      <c r="Q258" s="78">
        <f>O258*P258</f>
        <v>5.5</v>
      </c>
      <c r="R258" s="10"/>
      <c r="S258" s="4">
        <v>0</v>
      </c>
      <c r="T258" s="4">
        <v>0</v>
      </c>
      <c r="U258" s="20">
        <f t="shared" si="14"/>
        <v>0</v>
      </c>
      <c r="V258" s="4"/>
      <c r="W258" s="4"/>
    </row>
    <row r="259" spans="7:23">
      <c r="G259" s="226">
        <v>2</v>
      </c>
      <c r="H259" s="710" t="s">
        <v>228</v>
      </c>
      <c r="I259" s="711">
        <v>8015</v>
      </c>
      <c r="J259" s="190">
        <v>60</v>
      </c>
      <c r="K259" s="711" t="s">
        <v>220</v>
      </c>
      <c r="L259" s="685" t="s">
        <v>221</v>
      </c>
      <c r="M259" s="685">
        <v>264</v>
      </c>
      <c r="O259" s="252">
        <v>12</v>
      </c>
      <c r="P259" s="124">
        <v>5</v>
      </c>
      <c r="Q259" s="253">
        <f t="shared" ref="Q259:Q284" si="16">O259*P259</f>
        <v>60</v>
      </c>
      <c r="R259" s="10"/>
      <c r="S259" s="4">
        <v>0</v>
      </c>
      <c r="T259" s="4">
        <v>0</v>
      </c>
      <c r="U259" s="20">
        <f t="shared" si="14"/>
        <v>0</v>
      </c>
      <c r="V259" s="4"/>
      <c r="W259" s="4"/>
    </row>
    <row r="260" spans="7:23" ht="15.75" thickBot="1">
      <c r="G260" s="32">
        <v>1</v>
      </c>
      <c r="H260" s="703"/>
      <c r="I260" s="705"/>
      <c r="J260" s="33">
        <v>60</v>
      </c>
      <c r="K260" s="705"/>
      <c r="L260" s="687"/>
      <c r="M260" s="687"/>
      <c r="O260" s="42">
        <v>12</v>
      </c>
      <c r="P260" s="95">
        <v>4</v>
      </c>
      <c r="Q260" s="96">
        <f t="shared" si="16"/>
        <v>48</v>
      </c>
      <c r="S260" s="4">
        <v>0</v>
      </c>
      <c r="T260" s="4">
        <v>0</v>
      </c>
      <c r="U260" s="20">
        <f t="shared" si="14"/>
        <v>0</v>
      </c>
      <c r="V260" s="4"/>
      <c r="W260" s="4"/>
    </row>
    <row r="261" spans="7:23" ht="15.75" thickBot="1">
      <c r="G261" s="226">
        <v>2</v>
      </c>
      <c r="H261" s="787" t="s">
        <v>229</v>
      </c>
      <c r="I261" s="789">
        <v>8015</v>
      </c>
      <c r="J261" s="190">
        <v>60</v>
      </c>
      <c r="K261" s="190" t="s">
        <v>220</v>
      </c>
      <c r="L261" s="192" t="s">
        <v>221</v>
      </c>
      <c r="M261" s="192">
        <v>264</v>
      </c>
      <c r="O261" s="252">
        <v>12</v>
      </c>
      <c r="P261" s="124">
        <v>5</v>
      </c>
      <c r="Q261" s="302">
        <f t="shared" si="16"/>
        <v>60</v>
      </c>
      <c r="S261" s="4">
        <v>0</v>
      </c>
      <c r="T261" s="4">
        <v>0</v>
      </c>
      <c r="U261" s="20">
        <f t="shared" si="14"/>
        <v>0</v>
      </c>
      <c r="V261" s="4"/>
      <c r="W261" s="4"/>
    </row>
    <row r="262" spans="7:23">
      <c r="G262" s="765">
        <v>1</v>
      </c>
      <c r="H262" s="769"/>
      <c r="I262" s="772"/>
      <c r="J262" s="771">
        <v>58</v>
      </c>
      <c r="K262" s="771" t="s">
        <v>220</v>
      </c>
      <c r="L262" s="774" t="s">
        <v>221</v>
      </c>
      <c r="M262" s="774">
        <f>+G262*J262</f>
        <v>58</v>
      </c>
      <c r="O262" s="240">
        <v>10</v>
      </c>
      <c r="P262" s="311">
        <v>1</v>
      </c>
      <c r="Q262" s="253">
        <f t="shared" si="16"/>
        <v>10</v>
      </c>
      <c r="S262" s="4"/>
      <c r="T262" s="4"/>
      <c r="U262" s="20"/>
      <c r="V262" s="4"/>
      <c r="W262" s="4"/>
    </row>
    <row r="263" spans="7:23" ht="15.75" thickBot="1">
      <c r="G263" s="791"/>
      <c r="H263" s="788"/>
      <c r="I263" s="790"/>
      <c r="J263" s="790"/>
      <c r="K263" s="790"/>
      <c r="L263" s="778"/>
      <c r="M263" s="778"/>
      <c r="O263" s="61">
        <v>12</v>
      </c>
      <c r="P263" s="312">
        <v>4</v>
      </c>
      <c r="Q263" s="81">
        <f t="shared" si="16"/>
        <v>48</v>
      </c>
      <c r="S263" s="4"/>
      <c r="T263" s="4"/>
      <c r="U263" s="20"/>
      <c r="V263" s="4"/>
      <c r="W263" s="4"/>
    </row>
    <row r="264" spans="7:23">
      <c r="G264" s="226">
        <v>2</v>
      </c>
      <c r="H264" s="710" t="s">
        <v>386</v>
      </c>
      <c r="I264" s="711">
        <v>8015</v>
      </c>
      <c r="J264" s="190">
        <v>60</v>
      </c>
      <c r="K264" s="711" t="s">
        <v>220</v>
      </c>
      <c r="L264" s="685" t="s">
        <v>221</v>
      </c>
      <c r="M264" s="685">
        <v>264</v>
      </c>
      <c r="O264" s="252">
        <v>12</v>
      </c>
      <c r="P264" s="124">
        <v>5</v>
      </c>
      <c r="Q264" s="253">
        <f t="shared" si="16"/>
        <v>60</v>
      </c>
      <c r="R264" s="10"/>
      <c r="S264" s="4">
        <v>0</v>
      </c>
      <c r="T264" s="4">
        <v>0</v>
      </c>
      <c r="U264" s="20">
        <f t="shared" si="14"/>
        <v>0</v>
      </c>
      <c r="V264" s="4"/>
      <c r="W264" s="4"/>
    </row>
    <row r="265" spans="7:23" ht="15.75" thickBot="1">
      <c r="G265" s="32">
        <v>1</v>
      </c>
      <c r="H265" s="703"/>
      <c r="I265" s="705"/>
      <c r="J265" s="33">
        <v>48</v>
      </c>
      <c r="K265" s="705"/>
      <c r="L265" s="687"/>
      <c r="M265" s="687"/>
      <c r="O265" s="42">
        <v>12</v>
      </c>
      <c r="P265" s="95">
        <v>4</v>
      </c>
      <c r="Q265" s="96">
        <f t="shared" si="16"/>
        <v>48</v>
      </c>
      <c r="S265" s="4">
        <v>0</v>
      </c>
      <c r="T265" s="4">
        <v>0</v>
      </c>
      <c r="U265" s="20">
        <f t="shared" si="14"/>
        <v>0</v>
      </c>
      <c r="V265" s="4"/>
      <c r="W265" s="4"/>
    </row>
    <row r="266" spans="7:23">
      <c r="G266" s="716">
        <v>5</v>
      </c>
      <c r="H266" s="685" t="s">
        <v>308</v>
      </c>
      <c r="I266" s="749" t="s">
        <v>347</v>
      </c>
      <c r="J266" s="712" t="s">
        <v>219</v>
      </c>
      <c r="K266" s="712" t="s">
        <v>348</v>
      </c>
      <c r="L266" s="685" t="s">
        <v>221</v>
      </c>
      <c r="M266" s="781">
        <v>264</v>
      </c>
      <c r="O266" s="252">
        <v>12</v>
      </c>
      <c r="P266" s="122">
        <v>5</v>
      </c>
      <c r="Q266" s="253">
        <f t="shared" si="16"/>
        <v>60</v>
      </c>
      <c r="S266" s="4">
        <v>0</v>
      </c>
      <c r="T266" s="4">
        <v>0</v>
      </c>
      <c r="U266" s="20">
        <f t="shared" si="14"/>
        <v>0</v>
      </c>
      <c r="V266" s="4"/>
      <c r="W266" s="4"/>
    </row>
    <row r="267" spans="7:23">
      <c r="G267" s="717"/>
      <c r="H267" s="686"/>
      <c r="I267" s="784"/>
      <c r="J267" s="693"/>
      <c r="K267" s="693"/>
      <c r="L267" s="686"/>
      <c r="M267" s="782"/>
      <c r="O267" s="42">
        <v>12</v>
      </c>
      <c r="P267" s="95">
        <v>6</v>
      </c>
      <c r="Q267" s="96">
        <f t="shared" si="16"/>
        <v>72</v>
      </c>
      <c r="S267" s="4">
        <v>0</v>
      </c>
      <c r="T267" s="4">
        <v>0</v>
      </c>
      <c r="U267" s="20">
        <f t="shared" si="14"/>
        <v>0</v>
      </c>
      <c r="V267" s="4"/>
      <c r="W267" s="4"/>
    </row>
    <row r="268" spans="7:23">
      <c r="G268" s="717"/>
      <c r="H268" s="686"/>
      <c r="I268" s="784"/>
      <c r="J268" s="693"/>
      <c r="K268" s="693"/>
      <c r="L268" s="686"/>
      <c r="M268" s="782"/>
      <c r="O268" s="42">
        <v>12</v>
      </c>
      <c r="P268" s="95">
        <v>5</v>
      </c>
      <c r="Q268" s="96">
        <f t="shared" si="16"/>
        <v>60</v>
      </c>
      <c r="S268" s="4">
        <v>0</v>
      </c>
      <c r="T268" s="4">
        <v>0</v>
      </c>
      <c r="U268" s="20">
        <f t="shared" si="14"/>
        <v>0</v>
      </c>
      <c r="V268" s="4"/>
      <c r="W268" s="4"/>
    </row>
    <row r="269" spans="7:23" ht="15.75" thickBot="1">
      <c r="G269" s="780"/>
      <c r="H269" s="687"/>
      <c r="I269" s="750"/>
      <c r="J269" s="706"/>
      <c r="K269" s="706"/>
      <c r="L269" s="687"/>
      <c r="M269" s="783"/>
      <c r="O269" s="13">
        <v>12</v>
      </c>
      <c r="P269" s="99">
        <v>6</v>
      </c>
      <c r="Q269" s="78">
        <f t="shared" si="16"/>
        <v>72</v>
      </c>
      <c r="S269" s="4">
        <v>0</v>
      </c>
      <c r="T269" s="4">
        <v>0</v>
      </c>
      <c r="U269" s="20">
        <f t="shared" si="14"/>
        <v>0</v>
      </c>
      <c r="V269" s="4"/>
      <c r="W269" s="4"/>
    </row>
    <row r="270" spans="7:23">
      <c r="G270" s="720">
        <v>1</v>
      </c>
      <c r="H270" s="685" t="s">
        <v>308</v>
      </c>
      <c r="I270" s="749" t="s">
        <v>347</v>
      </c>
      <c r="J270" s="711">
        <v>57</v>
      </c>
      <c r="K270" s="712" t="s">
        <v>348</v>
      </c>
      <c r="L270" s="685" t="s">
        <v>221</v>
      </c>
      <c r="M270" s="685">
        <f>+G270*J270</f>
        <v>57</v>
      </c>
      <c r="O270" s="269">
        <v>10</v>
      </c>
      <c r="P270" s="269">
        <v>5</v>
      </c>
      <c r="Q270" s="253">
        <f t="shared" si="16"/>
        <v>50</v>
      </c>
      <c r="S270" s="4">
        <v>0</v>
      </c>
      <c r="T270" s="4">
        <v>0</v>
      </c>
      <c r="U270" s="20">
        <f t="shared" si="14"/>
        <v>0</v>
      </c>
      <c r="V270" s="4"/>
      <c r="W270" s="4"/>
    </row>
    <row r="271" spans="7:23" ht="15.75" thickBot="1">
      <c r="G271" s="722"/>
      <c r="H271" s="687"/>
      <c r="I271" s="750"/>
      <c r="J271" s="705"/>
      <c r="K271" s="706"/>
      <c r="L271" s="687"/>
      <c r="M271" s="687"/>
      <c r="O271" s="101">
        <v>7</v>
      </c>
      <c r="P271" s="101">
        <v>1</v>
      </c>
      <c r="Q271" s="78">
        <f t="shared" si="16"/>
        <v>7</v>
      </c>
      <c r="S271" s="4">
        <v>0</v>
      </c>
      <c r="T271" s="4">
        <v>0</v>
      </c>
      <c r="U271" s="20">
        <f t="shared" si="14"/>
        <v>0</v>
      </c>
      <c r="V271" s="4"/>
      <c r="W271" s="4"/>
    </row>
    <row r="272" spans="7:23">
      <c r="G272" s="720">
        <v>1</v>
      </c>
      <c r="H272" s="685" t="s">
        <v>349</v>
      </c>
      <c r="I272" s="749" t="s">
        <v>350</v>
      </c>
      <c r="J272" s="711">
        <v>58</v>
      </c>
      <c r="K272" s="712" t="s">
        <v>348</v>
      </c>
      <c r="L272" s="685" t="s">
        <v>221</v>
      </c>
      <c r="M272" s="685">
        <f>+G272*J272</f>
        <v>58</v>
      </c>
      <c r="O272" s="269">
        <v>10</v>
      </c>
      <c r="P272" s="269">
        <v>5</v>
      </c>
      <c r="Q272" s="253">
        <f t="shared" si="16"/>
        <v>50</v>
      </c>
      <c r="S272" s="4">
        <v>0</v>
      </c>
      <c r="T272" s="4">
        <v>0</v>
      </c>
      <c r="U272" s="20">
        <f t="shared" si="14"/>
        <v>0</v>
      </c>
      <c r="V272" s="4"/>
      <c r="W272" s="4"/>
    </row>
    <row r="273" spans="7:23" ht="15.75" thickBot="1">
      <c r="G273" s="722"/>
      <c r="H273" s="687"/>
      <c r="I273" s="750"/>
      <c r="J273" s="705"/>
      <c r="K273" s="706"/>
      <c r="L273" s="687"/>
      <c r="M273" s="687"/>
      <c r="O273" s="158">
        <v>8</v>
      </c>
      <c r="P273" s="158">
        <v>1</v>
      </c>
      <c r="Q273" s="81">
        <f t="shared" si="16"/>
        <v>8</v>
      </c>
      <c r="S273" s="4">
        <v>0</v>
      </c>
      <c r="T273" s="4">
        <v>0</v>
      </c>
      <c r="U273" s="20">
        <f t="shared" si="14"/>
        <v>0</v>
      </c>
      <c r="V273" s="4"/>
      <c r="W273" s="4"/>
    </row>
    <row r="274" spans="7:23">
      <c r="G274" s="720">
        <v>1</v>
      </c>
      <c r="H274" s="685" t="s">
        <v>351</v>
      </c>
      <c r="I274" s="749" t="s">
        <v>352</v>
      </c>
      <c r="J274" s="711">
        <v>68</v>
      </c>
      <c r="K274" s="711" t="s">
        <v>348</v>
      </c>
      <c r="L274" s="685" t="s">
        <v>221</v>
      </c>
      <c r="M274" s="685">
        <f>+G274*J274</f>
        <v>68</v>
      </c>
      <c r="O274" s="269">
        <v>11.5</v>
      </c>
      <c r="P274" s="269">
        <v>5</v>
      </c>
      <c r="Q274" s="253">
        <f t="shared" si="16"/>
        <v>57.5</v>
      </c>
      <c r="S274" s="4">
        <v>0</v>
      </c>
      <c r="T274" s="4">
        <v>0</v>
      </c>
      <c r="U274" s="20">
        <f t="shared" si="14"/>
        <v>0</v>
      </c>
      <c r="V274" s="4"/>
      <c r="W274" s="4"/>
    </row>
    <row r="275" spans="7:23" ht="15.75" thickBot="1">
      <c r="G275" s="722"/>
      <c r="H275" s="687"/>
      <c r="I275" s="750"/>
      <c r="J275" s="705"/>
      <c r="K275" s="705"/>
      <c r="L275" s="687"/>
      <c r="M275" s="687"/>
      <c r="O275" s="158">
        <v>10.5</v>
      </c>
      <c r="P275" s="158">
        <v>1</v>
      </c>
      <c r="Q275" s="81">
        <f t="shared" si="16"/>
        <v>10.5</v>
      </c>
      <c r="S275" s="4">
        <v>0</v>
      </c>
      <c r="T275" s="4">
        <v>0</v>
      </c>
      <c r="U275" s="20">
        <f t="shared" si="14"/>
        <v>0</v>
      </c>
      <c r="V275" s="4"/>
      <c r="W275" s="4"/>
    </row>
    <row r="276" spans="7:23" ht="15.75" thickBot="1">
      <c r="G276" s="84">
        <v>1</v>
      </c>
      <c r="H276" s="173" t="s">
        <v>353</v>
      </c>
      <c r="I276" s="159" t="s">
        <v>354</v>
      </c>
      <c r="J276" s="84">
        <v>62.5</v>
      </c>
      <c r="K276" s="84" t="s">
        <v>348</v>
      </c>
      <c r="L276" s="44" t="s">
        <v>221</v>
      </c>
      <c r="M276" s="156">
        <f>+G276*J276</f>
        <v>62.5</v>
      </c>
      <c r="O276" s="157">
        <v>12.5</v>
      </c>
      <c r="P276" s="157">
        <v>5</v>
      </c>
      <c r="Q276" s="157">
        <f t="shared" si="16"/>
        <v>62.5</v>
      </c>
      <c r="S276" s="4">
        <v>0</v>
      </c>
      <c r="T276" s="4">
        <v>0</v>
      </c>
      <c r="U276" s="20">
        <f t="shared" si="14"/>
        <v>0</v>
      </c>
      <c r="V276" s="4"/>
      <c r="W276" s="4"/>
    </row>
    <row r="277" spans="7:23">
      <c r="G277" s="720">
        <v>1</v>
      </c>
      <c r="H277" s="685" t="s">
        <v>355</v>
      </c>
      <c r="I277" s="749" t="s">
        <v>356</v>
      </c>
      <c r="J277" s="711">
        <v>61</v>
      </c>
      <c r="K277" s="711" t="s">
        <v>348</v>
      </c>
      <c r="L277" s="685" t="s">
        <v>221</v>
      </c>
      <c r="M277" s="685">
        <f>+G277*J277</f>
        <v>61</v>
      </c>
      <c r="O277" s="269">
        <v>10.5</v>
      </c>
      <c r="P277" s="269">
        <v>5</v>
      </c>
      <c r="Q277" s="253">
        <f t="shared" si="16"/>
        <v>52.5</v>
      </c>
      <c r="S277" s="4">
        <v>0</v>
      </c>
      <c r="T277" s="4">
        <v>0</v>
      </c>
      <c r="U277" s="20">
        <f t="shared" si="14"/>
        <v>0</v>
      </c>
      <c r="V277" s="4"/>
      <c r="W277" s="4"/>
    </row>
    <row r="278" spans="7:23" ht="15.75" thickBot="1">
      <c r="G278" s="721"/>
      <c r="H278" s="686"/>
      <c r="I278" s="784"/>
      <c r="J278" s="704"/>
      <c r="K278" s="704"/>
      <c r="L278" s="686"/>
      <c r="M278" s="687"/>
      <c r="O278" s="157">
        <v>8.5</v>
      </c>
      <c r="P278" s="157">
        <v>1</v>
      </c>
      <c r="Q278" s="102">
        <f t="shared" si="16"/>
        <v>8.5</v>
      </c>
      <c r="S278" s="4">
        <v>0</v>
      </c>
      <c r="T278" s="4">
        <v>0</v>
      </c>
      <c r="U278" s="20">
        <f t="shared" si="14"/>
        <v>0</v>
      </c>
      <c r="V278" s="4"/>
      <c r="W278" s="4"/>
    </row>
    <row r="279" spans="7:23">
      <c r="G279" s="716">
        <v>1</v>
      </c>
      <c r="H279" s="685" t="s">
        <v>357</v>
      </c>
      <c r="I279" s="749" t="s">
        <v>358</v>
      </c>
      <c r="J279" s="712">
        <v>61</v>
      </c>
      <c r="K279" s="711" t="s">
        <v>348</v>
      </c>
      <c r="L279" s="685" t="s">
        <v>221</v>
      </c>
      <c r="M279" s="685">
        <f>+G279*J279</f>
        <v>61</v>
      </c>
      <c r="O279" s="269">
        <v>10.5</v>
      </c>
      <c r="P279" s="269">
        <v>5</v>
      </c>
      <c r="Q279" s="253">
        <f t="shared" si="16"/>
        <v>52.5</v>
      </c>
      <c r="S279" s="4">
        <v>0</v>
      </c>
      <c r="T279" s="4">
        <v>0</v>
      </c>
      <c r="U279" s="20">
        <f t="shared" si="14"/>
        <v>0</v>
      </c>
      <c r="V279" s="4"/>
      <c r="W279" s="4"/>
    </row>
    <row r="280" spans="7:23" ht="15.75" thickBot="1">
      <c r="G280" s="780"/>
      <c r="H280" s="687"/>
      <c r="I280" s="750"/>
      <c r="J280" s="706"/>
      <c r="K280" s="705"/>
      <c r="L280" s="687"/>
      <c r="M280" s="687"/>
      <c r="O280" s="158">
        <v>8.5</v>
      </c>
      <c r="P280" s="158">
        <v>1</v>
      </c>
      <c r="Q280" s="81">
        <f t="shared" si="16"/>
        <v>8.5</v>
      </c>
      <c r="S280" s="4">
        <v>0</v>
      </c>
      <c r="T280" s="4">
        <v>0</v>
      </c>
      <c r="U280" s="20">
        <f t="shared" si="14"/>
        <v>0</v>
      </c>
      <c r="V280" s="4"/>
      <c r="W280" s="4"/>
    </row>
    <row r="281" spans="7:23">
      <c r="G281" s="720">
        <v>1</v>
      </c>
      <c r="H281" s="785" t="s">
        <v>359</v>
      </c>
      <c r="I281" s="749" t="s">
        <v>360</v>
      </c>
      <c r="J281" s="711">
        <v>61.5</v>
      </c>
      <c r="K281" s="711" t="s">
        <v>348</v>
      </c>
      <c r="L281" s="685" t="s">
        <v>221</v>
      </c>
      <c r="M281" s="685">
        <f>+G281*J281</f>
        <v>61.5</v>
      </c>
      <c r="O281" s="269">
        <v>12.5</v>
      </c>
      <c r="P281" s="269">
        <v>4</v>
      </c>
      <c r="Q281" s="253">
        <f t="shared" si="16"/>
        <v>50</v>
      </c>
      <c r="S281" s="4">
        <v>0</v>
      </c>
      <c r="T281" s="4">
        <v>0</v>
      </c>
      <c r="U281" s="20">
        <f t="shared" si="14"/>
        <v>0</v>
      </c>
      <c r="V281" s="4"/>
      <c r="W281" s="4"/>
    </row>
    <row r="282" spans="7:23" ht="15.75" thickBot="1">
      <c r="G282" s="722"/>
      <c r="H282" s="786"/>
      <c r="I282" s="750"/>
      <c r="J282" s="705"/>
      <c r="K282" s="705"/>
      <c r="L282" s="687"/>
      <c r="M282" s="687"/>
      <c r="O282" s="158">
        <v>11.5</v>
      </c>
      <c r="P282" s="158">
        <v>1</v>
      </c>
      <c r="Q282" s="81">
        <f t="shared" si="16"/>
        <v>11.5</v>
      </c>
      <c r="S282" s="4">
        <v>0</v>
      </c>
      <c r="T282" s="4">
        <v>0</v>
      </c>
      <c r="U282" s="20">
        <f t="shared" si="14"/>
        <v>0</v>
      </c>
      <c r="V282" s="4"/>
      <c r="W282" s="4"/>
    </row>
    <row r="283" spans="7:23">
      <c r="G283" s="86">
        <v>1</v>
      </c>
      <c r="H283" s="31" t="s">
        <v>339</v>
      </c>
      <c r="I283" s="160" t="s">
        <v>361</v>
      </c>
      <c r="J283" s="304">
        <v>60</v>
      </c>
      <c r="K283" s="146" t="s">
        <v>348</v>
      </c>
      <c r="L283" s="7" t="s">
        <v>221</v>
      </c>
      <c r="M283" s="156">
        <f>+G283*J283</f>
        <v>60</v>
      </c>
      <c r="O283" s="79">
        <v>12</v>
      </c>
      <c r="P283" s="79">
        <v>5</v>
      </c>
      <c r="Q283" s="79">
        <f t="shared" si="16"/>
        <v>60</v>
      </c>
      <c r="S283" s="4">
        <v>0</v>
      </c>
      <c r="T283" s="4">
        <v>0</v>
      </c>
      <c r="U283" s="20">
        <f t="shared" si="14"/>
        <v>0</v>
      </c>
      <c r="V283" s="4"/>
      <c r="W283" s="4"/>
    </row>
    <row r="284" spans="7:23">
      <c r="G284" s="86">
        <v>1</v>
      </c>
      <c r="H284" s="31" t="s">
        <v>339</v>
      </c>
      <c r="I284" s="160" t="s">
        <v>361</v>
      </c>
      <c r="J284" s="304">
        <v>24</v>
      </c>
      <c r="K284" s="146" t="s">
        <v>348</v>
      </c>
      <c r="L284" s="7" t="s">
        <v>362</v>
      </c>
      <c r="M284" s="161">
        <f>+G284*J284</f>
        <v>24</v>
      </c>
      <c r="O284" s="79">
        <v>12</v>
      </c>
      <c r="P284" s="79">
        <v>2</v>
      </c>
      <c r="Q284" s="79">
        <f t="shared" si="16"/>
        <v>24</v>
      </c>
      <c r="S284" s="4">
        <v>0</v>
      </c>
      <c r="T284" s="4">
        <v>0</v>
      </c>
      <c r="U284" s="20">
        <f t="shared" si="14"/>
        <v>0</v>
      </c>
      <c r="V284" s="4"/>
      <c r="W284" s="4"/>
    </row>
    <row r="285" spans="7:23">
      <c r="G285" s="162">
        <f>SUM(G146:G284)</f>
        <v>177</v>
      </c>
      <c r="J285" s="163"/>
      <c r="M285" s="163"/>
      <c r="U285" s="164">
        <f>SUM(U146:U284)</f>
        <v>12</v>
      </c>
    </row>
    <row r="288" spans="7:23">
      <c r="G288" s="74" t="s">
        <v>101</v>
      </c>
      <c r="H288" s="681" t="s">
        <v>719</v>
      </c>
      <c r="I288" s="682"/>
      <c r="J288" s="682"/>
      <c r="K288" s="682"/>
      <c r="L288" s="682"/>
      <c r="M288" s="683"/>
      <c r="O288" s="684" t="s">
        <v>207</v>
      </c>
      <c r="P288" s="684"/>
      <c r="Q288" s="684"/>
      <c r="R288" s="74"/>
      <c r="S288" s="684" t="s">
        <v>208</v>
      </c>
      <c r="T288" s="684"/>
      <c r="U288" s="684"/>
      <c r="V288" s="684"/>
      <c r="W288" s="684"/>
    </row>
    <row r="289" spans="7:23" ht="60.75" thickBot="1">
      <c r="G289" s="91" t="s">
        <v>209</v>
      </c>
      <c r="H289" s="91" t="s">
        <v>210</v>
      </c>
      <c r="I289" s="91" t="s">
        <v>53</v>
      </c>
      <c r="J289" s="92" t="s">
        <v>211</v>
      </c>
      <c r="K289" s="92" t="s">
        <v>212</v>
      </c>
      <c r="L289" s="92" t="s">
        <v>213</v>
      </c>
      <c r="M289" s="92" t="s">
        <v>224</v>
      </c>
      <c r="O289" s="103" t="s">
        <v>214</v>
      </c>
      <c r="P289" s="93" t="s">
        <v>215</v>
      </c>
      <c r="Q289" s="94" t="s">
        <v>216</v>
      </c>
      <c r="S289" s="75" t="s">
        <v>214</v>
      </c>
      <c r="T289" s="75" t="s">
        <v>215</v>
      </c>
      <c r="U289" s="76" t="s">
        <v>216</v>
      </c>
      <c r="V289" s="76" t="s">
        <v>217</v>
      </c>
      <c r="W289" s="76" t="s">
        <v>218</v>
      </c>
    </row>
    <row r="290" spans="7:23">
      <c r="G290" s="716">
        <v>1</v>
      </c>
      <c r="H290" s="710" t="s">
        <v>344</v>
      </c>
      <c r="I290" s="718">
        <v>8017</v>
      </c>
      <c r="J290" s="712" t="s">
        <v>219</v>
      </c>
      <c r="K290" s="712" t="s">
        <v>220</v>
      </c>
      <c r="L290" s="685" t="s">
        <v>221</v>
      </c>
      <c r="M290" s="685">
        <f>+Q290+Q291+Q292+Q293*G290</f>
        <v>264</v>
      </c>
      <c r="O290" s="252">
        <v>12</v>
      </c>
      <c r="P290" s="122">
        <v>5</v>
      </c>
      <c r="Q290" s="253">
        <f t="shared" ref="Q290:Q294" si="17">O290*P290</f>
        <v>60</v>
      </c>
      <c r="R290" s="10"/>
      <c r="S290" s="4">
        <v>0</v>
      </c>
      <c r="T290" s="4">
        <v>0</v>
      </c>
      <c r="U290" s="20">
        <f t="shared" ref="U290:U294" si="18">S290*T290</f>
        <v>0</v>
      </c>
      <c r="V290" s="4"/>
      <c r="W290" s="4"/>
    </row>
    <row r="291" spans="7:23">
      <c r="G291" s="717"/>
      <c r="H291" s="702"/>
      <c r="I291" s="719"/>
      <c r="J291" s="693"/>
      <c r="K291" s="693"/>
      <c r="L291" s="686"/>
      <c r="M291" s="686"/>
      <c r="O291" s="42">
        <v>12</v>
      </c>
      <c r="P291" s="95">
        <v>6</v>
      </c>
      <c r="Q291" s="96">
        <f t="shared" si="17"/>
        <v>72</v>
      </c>
      <c r="R291" s="10"/>
      <c r="S291" s="4">
        <v>0</v>
      </c>
      <c r="T291" s="4">
        <v>0</v>
      </c>
      <c r="U291" s="20">
        <f t="shared" si="18"/>
        <v>0</v>
      </c>
      <c r="V291" s="4"/>
      <c r="W291" s="4"/>
    </row>
    <row r="292" spans="7:23">
      <c r="G292" s="717"/>
      <c r="H292" s="702"/>
      <c r="I292" s="719"/>
      <c r="J292" s="693"/>
      <c r="K292" s="693"/>
      <c r="L292" s="686"/>
      <c r="M292" s="686"/>
      <c r="O292" s="42">
        <v>12</v>
      </c>
      <c r="P292" s="95">
        <v>5</v>
      </c>
      <c r="Q292" s="96">
        <f t="shared" si="17"/>
        <v>60</v>
      </c>
      <c r="R292" s="10"/>
      <c r="S292" s="4">
        <v>0</v>
      </c>
      <c r="T292" s="4">
        <v>0</v>
      </c>
      <c r="U292" s="20">
        <f t="shared" si="18"/>
        <v>0</v>
      </c>
      <c r="V292" s="4"/>
      <c r="W292" s="4"/>
    </row>
    <row r="293" spans="7:23" ht="15.75" thickBot="1">
      <c r="G293" s="717"/>
      <c r="H293" s="702"/>
      <c r="I293" s="719"/>
      <c r="J293" s="693"/>
      <c r="K293" s="693"/>
      <c r="L293" s="686"/>
      <c r="M293" s="687"/>
      <c r="O293" s="42">
        <v>12</v>
      </c>
      <c r="P293" s="95">
        <v>6</v>
      </c>
      <c r="Q293" s="97">
        <f t="shared" si="17"/>
        <v>72</v>
      </c>
      <c r="R293" s="10"/>
      <c r="S293" s="4">
        <v>0</v>
      </c>
      <c r="T293" s="4">
        <v>0</v>
      </c>
      <c r="U293" s="20">
        <f t="shared" si="18"/>
        <v>0</v>
      </c>
      <c r="V293" s="4"/>
      <c r="W293" s="4"/>
    </row>
    <row r="294" spans="7:23">
      <c r="G294" s="226">
        <v>1</v>
      </c>
      <c r="H294" s="258" t="s">
        <v>391</v>
      </c>
      <c r="I294" s="190">
        <v>8020</v>
      </c>
      <c r="J294" s="259">
        <v>40</v>
      </c>
      <c r="K294" s="259" t="s">
        <v>220</v>
      </c>
      <c r="L294" s="192" t="s">
        <v>221</v>
      </c>
      <c r="M294" s="192">
        <f>+G294*J294</f>
        <v>40</v>
      </c>
      <c r="O294" s="240">
        <v>5</v>
      </c>
      <c r="P294" s="240">
        <v>8</v>
      </c>
      <c r="Q294" s="253">
        <f t="shared" si="17"/>
        <v>40</v>
      </c>
      <c r="R294" s="10"/>
      <c r="S294" s="4">
        <v>0</v>
      </c>
      <c r="T294" s="4">
        <v>0</v>
      </c>
      <c r="U294" s="20">
        <f t="shared" si="18"/>
        <v>0</v>
      </c>
      <c r="V294" s="4"/>
      <c r="W294" s="4"/>
    </row>
    <row r="295" spans="7:23">
      <c r="G295" s="274">
        <v>1</v>
      </c>
      <c r="H295" s="223" t="s">
        <v>391</v>
      </c>
      <c r="I295" s="85">
        <v>8020</v>
      </c>
      <c r="J295" s="254">
        <v>56</v>
      </c>
      <c r="K295" s="86" t="s">
        <v>220</v>
      </c>
      <c r="L295" s="31" t="s">
        <v>221</v>
      </c>
      <c r="M295" s="31">
        <f>+G295*J295</f>
        <v>56</v>
      </c>
      <c r="O295" s="44"/>
      <c r="P295" s="183"/>
      <c r="Q295" s="182"/>
      <c r="R295" s="10"/>
      <c r="S295" s="4"/>
      <c r="T295" s="4"/>
      <c r="U295" s="20"/>
      <c r="V295" s="4"/>
      <c r="W295" s="4"/>
    </row>
    <row r="296" spans="7:23" ht="15.75" thickBot="1">
      <c r="G296" s="32">
        <v>1</v>
      </c>
      <c r="H296" s="186" t="s">
        <v>391</v>
      </c>
      <c r="I296" s="33">
        <v>8020</v>
      </c>
      <c r="J296" s="87">
        <v>48</v>
      </c>
      <c r="K296" s="87" t="s">
        <v>220</v>
      </c>
      <c r="L296" s="263" t="s">
        <v>221</v>
      </c>
      <c r="M296" s="13">
        <v>48</v>
      </c>
      <c r="O296" s="44">
        <v>8</v>
      </c>
      <c r="P296" s="183">
        <v>6</v>
      </c>
      <c r="Q296" s="182">
        <f t="shared" ref="Q296:Q362" si="19">O296*P296</f>
        <v>48</v>
      </c>
      <c r="R296" s="10"/>
      <c r="S296" s="4">
        <v>0</v>
      </c>
      <c r="T296" s="4">
        <v>0</v>
      </c>
      <c r="U296" s="20">
        <f t="shared" ref="U296:U302" si="20">S296*T296</f>
        <v>0</v>
      </c>
      <c r="V296" s="4"/>
      <c r="W296" s="4"/>
    </row>
    <row r="297" spans="7:23">
      <c r="G297" s="700">
        <v>19</v>
      </c>
      <c r="H297" s="702" t="s">
        <v>58</v>
      </c>
      <c r="I297" s="704">
        <v>8020</v>
      </c>
      <c r="J297" s="693" t="s">
        <v>219</v>
      </c>
      <c r="K297" s="693" t="s">
        <v>220</v>
      </c>
      <c r="L297" s="707" t="s">
        <v>221</v>
      </c>
      <c r="M297" s="686">
        <v>264</v>
      </c>
      <c r="O297" s="252">
        <v>12</v>
      </c>
      <c r="P297" s="122">
        <v>5</v>
      </c>
      <c r="Q297" s="253">
        <f t="shared" si="19"/>
        <v>60</v>
      </c>
      <c r="R297" s="10"/>
      <c r="S297" s="4">
        <v>0</v>
      </c>
      <c r="T297" s="4">
        <v>0</v>
      </c>
      <c r="U297" s="20">
        <f t="shared" si="20"/>
        <v>0</v>
      </c>
      <c r="V297" s="4"/>
      <c r="W297" s="4"/>
    </row>
    <row r="298" spans="7:23">
      <c r="G298" s="700"/>
      <c r="H298" s="702"/>
      <c r="I298" s="704"/>
      <c r="J298" s="693"/>
      <c r="K298" s="693"/>
      <c r="L298" s="707"/>
      <c r="M298" s="686"/>
      <c r="O298" s="42">
        <v>12</v>
      </c>
      <c r="P298" s="95">
        <v>6</v>
      </c>
      <c r="Q298" s="96">
        <f t="shared" si="19"/>
        <v>72</v>
      </c>
      <c r="R298" s="10"/>
      <c r="S298" s="4">
        <v>0</v>
      </c>
      <c r="T298" s="4">
        <v>0</v>
      </c>
      <c r="U298" s="20">
        <f t="shared" si="20"/>
        <v>0</v>
      </c>
      <c r="V298" s="4"/>
      <c r="W298" s="4"/>
    </row>
    <row r="299" spans="7:23">
      <c r="G299" s="700"/>
      <c r="H299" s="702"/>
      <c r="I299" s="704"/>
      <c r="J299" s="693"/>
      <c r="K299" s="693"/>
      <c r="L299" s="707"/>
      <c r="M299" s="686"/>
      <c r="O299" s="42">
        <v>12</v>
      </c>
      <c r="P299" s="95">
        <v>5</v>
      </c>
      <c r="Q299" s="96">
        <f t="shared" si="19"/>
        <v>60</v>
      </c>
      <c r="R299" s="10"/>
      <c r="S299" s="4">
        <v>0</v>
      </c>
      <c r="T299" s="4">
        <v>0</v>
      </c>
      <c r="U299" s="20">
        <f t="shared" si="20"/>
        <v>0</v>
      </c>
      <c r="V299" s="4"/>
      <c r="W299" s="4"/>
    </row>
    <row r="300" spans="7:23" ht="15.75" thickBot="1">
      <c r="G300" s="701"/>
      <c r="H300" s="703"/>
      <c r="I300" s="705"/>
      <c r="J300" s="706"/>
      <c r="K300" s="706"/>
      <c r="L300" s="708"/>
      <c r="M300" s="687"/>
      <c r="O300" s="42">
        <v>12</v>
      </c>
      <c r="P300" s="95">
        <v>6</v>
      </c>
      <c r="Q300" s="97">
        <f t="shared" si="19"/>
        <v>72</v>
      </c>
      <c r="R300" s="10"/>
      <c r="S300" s="4">
        <v>0</v>
      </c>
      <c r="T300" s="4">
        <v>0</v>
      </c>
      <c r="U300" s="20">
        <f t="shared" si="20"/>
        <v>0</v>
      </c>
      <c r="V300" s="4"/>
      <c r="W300" s="4"/>
    </row>
    <row r="301" spans="7:23">
      <c r="G301" s="709">
        <v>15</v>
      </c>
      <c r="H301" s="710" t="s">
        <v>61</v>
      </c>
      <c r="I301" s="711">
        <v>8019</v>
      </c>
      <c r="J301" s="712" t="s">
        <v>219</v>
      </c>
      <c r="K301" s="712" t="s">
        <v>220</v>
      </c>
      <c r="L301" s="713" t="s">
        <v>221</v>
      </c>
      <c r="M301" s="758">
        <v>264</v>
      </c>
      <c r="O301" s="252">
        <v>12</v>
      </c>
      <c r="P301" s="122">
        <v>5</v>
      </c>
      <c r="Q301" s="253">
        <f t="shared" si="19"/>
        <v>60</v>
      </c>
      <c r="R301" s="10"/>
      <c r="S301" s="268">
        <v>0</v>
      </c>
      <c r="T301" s="240">
        <v>0</v>
      </c>
      <c r="U301" s="269">
        <f t="shared" si="20"/>
        <v>0</v>
      </c>
      <c r="V301" s="240"/>
      <c r="W301" s="241"/>
    </row>
    <row r="302" spans="7:23">
      <c r="G302" s="700"/>
      <c r="H302" s="702"/>
      <c r="I302" s="704"/>
      <c r="J302" s="693"/>
      <c r="K302" s="693"/>
      <c r="L302" s="714"/>
      <c r="M302" s="759"/>
      <c r="O302" s="42">
        <v>12</v>
      </c>
      <c r="P302" s="95">
        <v>6</v>
      </c>
      <c r="Q302" s="96">
        <f t="shared" si="19"/>
        <v>72</v>
      </c>
      <c r="R302" s="10"/>
      <c r="S302" s="14">
        <v>12</v>
      </c>
      <c r="T302" s="4">
        <v>1</v>
      </c>
      <c r="U302" s="20">
        <f t="shared" si="20"/>
        <v>12</v>
      </c>
      <c r="V302" s="4" t="s">
        <v>223</v>
      </c>
      <c r="W302" s="8"/>
    </row>
    <row r="303" spans="7:23">
      <c r="G303" s="700"/>
      <c r="H303" s="702"/>
      <c r="I303" s="704"/>
      <c r="J303" s="693"/>
      <c r="K303" s="693"/>
      <c r="L303" s="714"/>
      <c r="M303" s="759"/>
      <c r="O303" s="42">
        <v>12</v>
      </c>
      <c r="P303" s="95">
        <v>5</v>
      </c>
      <c r="Q303" s="96">
        <f t="shared" si="19"/>
        <v>60</v>
      </c>
      <c r="R303" s="10"/>
      <c r="S303" s="14">
        <v>0</v>
      </c>
      <c r="T303" s="4">
        <v>0</v>
      </c>
      <c r="U303" s="20">
        <v>0</v>
      </c>
      <c r="V303" s="4"/>
      <c r="W303" s="8"/>
    </row>
    <row r="304" spans="7:23" ht="15.75" thickBot="1">
      <c r="G304" s="701"/>
      <c r="H304" s="703"/>
      <c r="I304" s="705"/>
      <c r="J304" s="706"/>
      <c r="K304" s="706"/>
      <c r="L304" s="715"/>
      <c r="M304" s="760"/>
      <c r="O304" s="13">
        <v>12</v>
      </c>
      <c r="P304" s="99">
        <v>6</v>
      </c>
      <c r="Q304" s="78">
        <f t="shared" si="19"/>
        <v>72</v>
      </c>
      <c r="R304" s="10"/>
      <c r="S304" s="100">
        <v>0</v>
      </c>
      <c r="T304" s="5">
        <v>0</v>
      </c>
      <c r="U304" s="101">
        <v>0</v>
      </c>
      <c r="V304" s="5"/>
      <c r="W304" s="6"/>
    </row>
    <row r="305" spans="7:23">
      <c r="G305" s="726">
        <v>17</v>
      </c>
      <c r="H305" s="729" t="s">
        <v>65</v>
      </c>
      <c r="I305" s="711">
        <v>8021</v>
      </c>
      <c r="J305" s="712" t="s">
        <v>219</v>
      </c>
      <c r="K305" s="712" t="s">
        <v>220</v>
      </c>
      <c r="L305" s="713" t="s">
        <v>221</v>
      </c>
      <c r="M305" s="758">
        <v>264</v>
      </c>
      <c r="O305" s="252">
        <v>12</v>
      </c>
      <c r="P305" s="122">
        <v>5</v>
      </c>
      <c r="Q305" s="253">
        <f t="shared" si="19"/>
        <v>60</v>
      </c>
      <c r="R305" s="10"/>
      <c r="S305" s="4">
        <v>0</v>
      </c>
      <c r="T305" s="4">
        <v>0</v>
      </c>
      <c r="U305" s="20">
        <f t="shared" ref="U305:U340" si="21">S305*T305</f>
        <v>0</v>
      </c>
      <c r="V305" s="4"/>
      <c r="W305" s="4"/>
    </row>
    <row r="306" spans="7:23">
      <c r="G306" s="727"/>
      <c r="H306" s="730"/>
      <c r="I306" s="704"/>
      <c r="J306" s="693"/>
      <c r="K306" s="693"/>
      <c r="L306" s="714"/>
      <c r="M306" s="759"/>
      <c r="O306" s="42">
        <v>12</v>
      </c>
      <c r="P306" s="95">
        <v>6</v>
      </c>
      <c r="Q306" s="96">
        <f t="shared" si="19"/>
        <v>72</v>
      </c>
      <c r="R306" s="10"/>
      <c r="S306" s="4">
        <v>0</v>
      </c>
      <c r="T306" s="4">
        <v>0</v>
      </c>
      <c r="U306" s="20">
        <f t="shared" si="21"/>
        <v>0</v>
      </c>
      <c r="V306" s="4"/>
      <c r="W306" s="4"/>
    </row>
    <row r="307" spans="7:23">
      <c r="G307" s="727"/>
      <c r="H307" s="730"/>
      <c r="I307" s="704"/>
      <c r="J307" s="693"/>
      <c r="K307" s="693"/>
      <c r="L307" s="714"/>
      <c r="M307" s="759"/>
      <c r="O307" s="42">
        <v>12</v>
      </c>
      <c r="P307" s="95">
        <v>5</v>
      </c>
      <c r="Q307" s="96">
        <f t="shared" si="19"/>
        <v>60</v>
      </c>
      <c r="R307" s="10"/>
      <c r="S307" s="4">
        <v>0</v>
      </c>
      <c r="T307" s="4">
        <v>0</v>
      </c>
      <c r="U307" s="20">
        <f t="shared" si="21"/>
        <v>0</v>
      </c>
      <c r="V307" s="4"/>
      <c r="W307" s="4"/>
    </row>
    <row r="308" spans="7:23" ht="15.75" thickBot="1">
      <c r="G308" s="728"/>
      <c r="H308" s="731"/>
      <c r="I308" s="705"/>
      <c r="J308" s="706"/>
      <c r="K308" s="706"/>
      <c r="L308" s="715"/>
      <c r="M308" s="760"/>
      <c r="O308" s="13">
        <v>12</v>
      </c>
      <c r="P308" s="99">
        <v>6</v>
      </c>
      <c r="Q308" s="78">
        <f t="shared" si="19"/>
        <v>72</v>
      </c>
      <c r="R308" s="10"/>
      <c r="S308" s="4">
        <v>0</v>
      </c>
      <c r="T308" s="4">
        <v>0</v>
      </c>
      <c r="U308" s="20">
        <f t="shared" si="21"/>
        <v>0</v>
      </c>
      <c r="V308" s="4"/>
      <c r="W308" s="4"/>
    </row>
    <row r="309" spans="7:23" ht="15.75" thickBot="1">
      <c r="G309" s="720">
        <v>1</v>
      </c>
      <c r="H309" s="723" t="s">
        <v>68</v>
      </c>
      <c r="I309" s="711">
        <v>8025</v>
      </c>
      <c r="J309" s="718" t="s">
        <v>227</v>
      </c>
      <c r="K309" s="711" t="s">
        <v>220</v>
      </c>
      <c r="L309" s="685" t="s">
        <v>221</v>
      </c>
      <c r="M309" s="685">
        <f>65+77+65+77</f>
        <v>284</v>
      </c>
      <c r="O309" s="271">
        <v>13</v>
      </c>
      <c r="P309" s="252">
        <v>5</v>
      </c>
      <c r="Q309" s="272">
        <f t="shared" si="19"/>
        <v>65</v>
      </c>
      <c r="R309" s="10"/>
      <c r="S309" s="4">
        <v>0</v>
      </c>
      <c r="T309" s="4">
        <v>0</v>
      </c>
      <c r="U309" s="20">
        <f t="shared" si="21"/>
        <v>0</v>
      </c>
      <c r="V309" s="4"/>
      <c r="W309" s="4"/>
    </row>
    <row r="310" spans="7:23">
      <c r="G310" s="721"/>
      <c r="H310" s="724"/>
      <c r="I310" s="704"/>
      <c r="J310" s="719"/>
      <c r="K310" s="704"/>
      <c r="L310" s="686"/>
      <c r="M310" s="686"/>
      <c r="O310" s="271">
        <v>13</v>
      </c>
      <c r="P310" s="252">
        <v>5</v>
      </c>
      <c r="Q310" s="272">
        <f t="shared" si="19"/>
        <v>65</v>
      </c>
      <c r="R310" s="10"/>
      <c r="S310" s="4">
        <v>0</v>
      </c>
      <c r="T310" s="4">
        <v>0</v>
      </c>
      <c r="U310" s="20">
        <f t="shared" si="21"/>
        <v>0</v>
      </c>
      <c r="V310" s="4"/>
      <c r="W310" s="4"/>
    </row>
    <row r="311" spans="7:23">
      <c r="G311" s="721"/>
      <c r="H311" s="724"/>
      <c r="I311" s="704"/>
      <c r="J311" s="719"/>
      <c r="K311" s="704"/>
      <c r="L311" s="686"/>
      <c r="M311" s="686"/>
      <c r="O311" s="14">
        <v>12</v>
      </c>
      <c r="P311" s="4">
        <v>1</v>
      </c>
      <c r="Q311" s="176">
        <f t="shared" si="19"/>
        <v>12</v>
      </c>
      <c r="R311" s="10"/>
      <c r="S311" s="4">
        <v>0</v>
      </c>
      <c r="T311" s="4">
        <v>0</v>
      </c>
      <c r="U311" s="20">
        <f t="shared" si="21"/>
        <v>0</v>
      </c>
      <c r="V311" s="4"/>
      <c r="W311" s="4"/>
    </row>
    <row r="312" spans="7:23">
      <c r="G312" s="721"/>
      <c r="H312" s="724"/>
      <c r="I312" s="704"/>
      <c r="J312" s="719"/>
      <c r="K312" s="704"/>
      <c r="L312" s="686"/>
      <c r="M312" s="686"/>
      <c r="O312" s="14">
        <v>13</v>
      </c>
      <c r="P312" s="4">
        <v>5</v>
      </c>
      <c r="Q312" s="175">
        <f t="shared" si="19"/>
        <v>65</v>
      </c>
      <c r="R312" s="10"/>
      <c r="S312" s="4">
        <v>0</v>
      </c>
      <c r="T312" s="4">
        <v>0</v>
      </c>
      <c r="U312" s="20">
        <f t="shared" si="21"/>
        <v>0</v>
      </c>
      <c r="V312" s="4"/>
      <c r="W312" s="4"/>
    </row>
    <row r="313" spans="7:23">
      <c r="G313" s="721"/>
      <c r="H313" s="724"/>
      <c r="I313" s="704"/>
      <c r="J313" s="719"/>
      <c r="K313" s="704"/>
      <c r="L313" s="686"/>
      <c r="M313" s="686"/>
      <c r="O313" s="177">
        <v>13</v>
      </c>
      <c r="P313" s="44">
        <v>5</v>
      </c>
      <c r="Q313" s="175">
        <f t="shared" si="19"/>
        <v>65</v>
      </c>
      <c r="R313" s="10"/>
      <c r="S313" s="4">
        <v>0</v>
      </c>
      <c r="T313" s="4">
        <v>0</v>
      </c>
      <c r="U313" s="20">
        <f t="shared" si="21"/>
        <v>0</v>
      </c>
      <c r="V313" s="4"/>
      <c r="W313" s="4"/>
    </row>
    <row r="314" spans="7:23" ht="15.75" thickBot="1">
      <c r="G314" s="722"/>
      <c r="H314" s="725"/>
      <c r="I314" s="705"/>
      <c r="J314" s="732"/>
      <c r="K314" s="705"/>
      <c r="L314" s="687"/>
      <c r="M314" s="687"/>
      <c r="O314" s="100">
        <v>12</v>
      </c>
      <c r="P314" s="5">
        <v>1</v>
      </c>
      <c r="Q314" s="90">
        <f t="shared" si="19"/>
        <v>12</v>
      </c>
      <c r="R314" s="10"/>
      <c r="S314" s="4">
        <v>0</v>
      </c>
      <c r="T314" s="4">
        <v>0</v>
      </c>
      <c r="U314" s="20">
        <f t="shared" si="21"/>
        <v>0</v>
      </c>
      <c r="V314" s="4"/>
      <c r="W314" s="4"/>
    </row>
    <row r="315" spans="7:23">
      <c r="G315" s="720">
        <v>1</v>
      </c>
      <c r="H315" s="723" t="s">
        <v>70</v>
      </c>
      <c r="I315" s="711">
        <v>8014</v>
      </c>
      <c r="J315" s="712" t="s">
        <v>219</v>
      </c>
      <c r="K315" s="712" t="s">
        <v>220</v>
      </c>
      <c r="L315" s="685" t="s">
        <v>221</v>
      </c>
      <c r="M315" s="685">
        <v>264</v>
      </c>
      <c r="O315" s="252">
        <v>12</v>
      </c>
      <c r="P315" s="122">
        <v>5</v>
      </c>
      <c r="Q315" s="253">
        <f t="shared" si="19"/>
        <v>60</v>
      </c>
      <c r="R315" s="10"/>
      <c r="S315" s="4">
        <v>0</v>
      </c>
      <c r="T315" s="4">
        <v>0</v>
      </c>
      <c r="U315" s="20">
        <f t="shared" si="21"/>
        <v>0</v>
      </c>
      <c r="V315" s="4"/>
      <c r="W315" s="4"/>
    </row>
    <row r="316" spans="7:23">
      <c r="G316" s="721"/>
      <c r="H316" s="724"/>
      <c r="I316" s="704"/>
      <c r="J316" s="693"/>
      <c r="K316" s="693"/>
      <c r="L316" s="686"/>
      <c r="M316" s="686"/>
      <c r="O316" s="42">
        <v>12</v>
      </c>
      <c r="P316" s="95">
        <v>6</v>
      </c>
      <c r="Q316" s="96">
        <f t="shared" si="19"/>
        <v>72</v>
      </c>
      <c r="R316" s="10"/>
      <c r="S316" s="4">
        <v>0</v>
      </c>
      <c r="T316" s="4">
        <v>0</v>
      </c>
      <c r="U316" s="20">
        <f t="shared" si="21"/>
        <v>0</v>
      </c>
      <c r="V316" s="4"/>
      <c r="W316" s="4"/>
    </row>
    <row r="317" spans="7:23">
      <c r="G317" s="721"/>
      <c r="H317" s="724"/>
      <c r="I317" s="704"/>
      <c r="J317" s="693"/>
      <c r="K317" s="693"/>
      <c r="L317" s="686"/>
      <c r="M317" s="686"/>
      <c r="O317" s="42">
        <v>12</v>
      </c>
      <c r="P317" s="95">
        <v>5</v>
      </c>
      <c r="Q317" s="96">
        <f t="shared" si="19"/>
        <v>60</v>
      </c>
      <c r="R317" s="10"/>
      <c r="S317" s="4">
        <v>0</v>
      </c>
      <c r="T317" s="4">
        <v>0</v>
      </c>
      <c r="U317" s="20">
        <f t="shared" si="21"/>
        <v>0</v>
      </c>
      <c r="V317" s="4"/>
      <c r="W317" s="4"/>
    </row>
    <row r="318" spans="7:23" ht="15.75" thickBot="1">
      <c r="G318" s="722"/>
      <c r="H318" s="725"/>
      <c r="I318" s="705"/>
      <c r="J318" s="706"/>
      <c r="K318" s="706"/>
      <c r="L318" s="687"/>
      <c r="M318" s="687"/>
      <c r="O318" s="13">
        <v>12</v>
      </c>
      <c r="P318" s="99">
        <v>6</v>
      </c>
      <c r="Q318" s="78">
        <f t="shared" si="19"/>
        <v>72</v>
      </c>
      <c r="R318" s="10"/>
      <c r="S318" s="4">
        <v>0</v>
      </c>
      <c r="T318" s="4">
        <v>0</v>
      </c>
      <c r="U318" s="20">
        <f t="shared" si="21"/>
        <v>0</v>
      </c>
      <c r="V318" s="4"/>
      <c r="W318" s="4"/>
    </row>
    <row r="319" spans="7:23">
      <c r="G319" s="720">
        <v>1</v>
      </c>
      <c r="H319" s="710" t="s">
        <v>71</v>
      </c>
      <c r="I319" s="711">
        <v>8002</v>
      </c>
      <c r="J319" s="712" t="s">
        <v>219</v>
      </c>
      <c r="K319" s="712" t="s">
        <v>220</v>
      </c>
      <c r="L319" s="685" t="s">
        <v>221</v>
      </c>
      <c r="M319" s="685">
        <v>264</v>
      </c>
      <c r="O319" s="252">
        <v>12</v>
      </c>
      <c r="P319" s="122">
        <v>5</v>
      </c>
      <c r="Q319" s="253">
        <f t="shared" si="19"/>
        <v>60</v>
      </c>
      <c r="R319" s="10"/>
      <c r="S319" s="4">
        <v>0</v>
      </c>
      <c r="T319" s="4">
        <v>0</v>
      </c>
      <c r="U319" s="20">
        <f t="shared" si="21"/>
        <v>0</v>
      </c>
      <c r="V319" s="4"/>
      <c r="W319" s="4"/>
    </row>
    <row r="320" spans="7:23">
      <c r="G320" s="721"/>
      <c r="H320" s="702"/>
      <c r="I320" s="704"/>
      <c r="J320" s="693"/>
      <c r="K320" s="693"/>
      <c r="L320" s="686"/>
      <c r="M320" s="686"/>
      <c r="O320" s="42">
        <v>12</v>
      </c>
      <c r="P320" s="95">
        <v>6</v>
      </c>
      <c r="Q320" s="96">
        <f t="shared" si="19"/>
        <v>72</v>
      </c>
      <c r="R320" s="10"/>
      <c r="S320" s="4">
        <v>0</v>
      </c>
      <c r="T320" s="4">
        <v>0</v>
      </c>
      <c r="U320" s="20">
        <f t="shared" si="21"/>
        <v>0</v>
      </c>
      <c r="V320" s="4"/>
      <c r="W320" s="4"/>
    </row>
    <row r="321" spans="7:23">
      <c r="G321" s="721"/>
      <c r="H321" s="702"/>
      <c r="I321" s="704"/>
      <c r="J321" s="693"/>
      <c r="K321" s="693"/>
      <c r="L321" s="686"/>
      <c r="M321" s="686"/>
      <c r="O321" s="42">
        <v>12</v>
      </c>
      <c r="P321" s="95">
        <v>5</v>
      </c>
      <c r="Q321" s="96">
        <f t="shared" si="19"/>
        <v>60</v>
      </c>
      <c r="R321" s="10"/>
      <c r="S321" s="4">
        <v>0</v>
      </c>
      <c r="T321" s="4">
        <v>0</v>
      </c>
      <c r="U321" s="20">
        <f t="shared" si="21"/>
        <v>0</v>
      </c>
      <c r="V321" s="4"/>
      <c r="W321" s="4"/>
    </row>
    <row r="322" spans="7:23" ht="15.75" thickBot="1">
      <c r="G322" s="722"/>
      <c r="H322" s="703"/>
      <c r="I322" s="705"/>
      <c r="J322" s="706"/>
      <c r="K322" s="706"/>
      <c r="L322" s="687"/>
      <c r="M322" s="687"/>
      <c r="O322" s="13">
        <v>12</v>
      </c>
      <c r="P322" s="99">
        <v>6</v>
      </c>
      <c r="Q322" s="78">
        <f t="shared" si="19"/>
        <v>72</v>
      </c>
      <c r="R322" s="10"/>
      <c r="S322" s="4">
        <v>0</v>
      </c>
      <c r="T322" s="4">
        <v>0</v>
      </c>
      <c r="U322" s="20">
        <f t="shared" si="21"/>
        <v>0</v>
      </c>
      <c r="V322" s="4"/>
      <c r="W322" s="4"/>
    </row>
    <row r="323" spans="7:23">
      <c r="G323" s="720">
        <v>8</v>
      </c>
      <c r="H323" s="710" t="s">
        <v>72</v>
      </c>
      <c r="I323" s="711">
        <v>8022</v>
      </c>
      <c r="J323" s="711" t="s">
        <v>219</v>
      </c>
      <c r="K323" s="711" t="s">
        <v>220</v>
      </c>
      <c r="L323" s="685" t="s">
        <v>221</v>
      </c>
      <c r="M323" s="713">
        <v>264</v>
      </c>
      <c r="O323" s="252">
        <v>12</v>
      </c>
      <c r="P323" s="122">
        <v>5</v>
      </c>
      <c r="Q323" s="253">
        <f t="shared" si="19"/>
        <v>60</v>
      </c>
      <c r="R323" s="10"/>
      <c r="S323" s="4">
        <v>0</v>
      </c>
      <c r="T323" s="4">
        <v>0</v>
      </c>
      <c r="U323" s="20">
        <f t="shared" si="21"/>
        <v>0</v>
      </c>
      <c r="V323" s="4"/>
      <c r="W323" s="4"/>
    </row>
    <row r="324" spans="7:23">
      <c r="G324" s="721"/>
      <c r="H324" s="702"/>
      <c r="I324" s="704"/>
      <c r="J324" s="704"/>
      <c r="K324" s="704"/>
      <c r="L324" s="686"/>
      <c r="M324" s="714"/>
      <c r="O324" s="42">
        <v>12</v>
      </c>
      <c r="P324" s="95">
        <v>6</v>
      </c>
      <c r="Q324" s="96">
        <f t="shared" si="19"/>
        <v>72</v>
      </c>
      <c r="R324" s="10"/>
      <c r="S324" s="4">
        <v>0</v>
      </c>
      <c r="T324" s="4">
        <v>0</v>
      </c>
      <c r="U324" s="20">
        <f t="shared" si="21"/>
        <v>0</v>
      </c>
      <c r="V324" s="4"/>
      <c r="W324" s="4"/>
    </row>
    <row r="325" spans="7:23">
      <c r="G325" s="721"/>
      <c r="H325" s="702"/>
      <c r="I325" s="704"/>
      <c r="J325" s="704"/>
      <c r="K325" s="704"/>
      <c r="L325" s="686"/>
      <c r="M325" s="714"/>
      <c r="O325" s="42">
        <v>12</v>
      </c>
      <c r="P325" s="95">
        <v>5</v>
      </c>
      <c r="Q325" s="96">
        <f t="shared" si="19"/>
        <v>60</v>
      </c>
      <c r="R325" s="10"/>
      <c r="S325" s="4">
        <v>0</v>
      </c>
      <c r="T325" s="4">
        <v>0</v>
      </c>
      <c r="U325" s="20">
        <f t="shared" si="21"/>
        <v>0</v>
      </c>
      <c r="V325" s="4"/>
      <c r="W325" s="4"/>
    </row>
    <row r="326" spans="7:23" ht="15.75" thickBot="1">
      <c r="G326" s="722"/>
      <c r="H326" s="703"/>
      <c r="I326" s="705"/>
      <c r="J326" s="705"/>
      <c r="K326" s="705"/>
      <c r="L326" s="687"/>
      <c r="M326" s="715"/>
      <c r="O326" s="13">
        <v>12</v>
      </c>
      <c r="P326" s="99">
        <v>6</v>
      </c>
      <c r="Q326" s="78">
        <f t="shared" si="19"/>
        <v>72</v>
      </c>
      <c r="S326" s="4">
        <v>0</v>
      </c>
      <c r="T326" s="4">
        <v>0</v>
      </c>
      <c r="U326" s="20">
        <f t="shared" si="21"/>
        <v>0</v>
      </c>
      <c r="V326" s="4"/>
      <c r="W326" s="4"/>
    </row>
    <row r="327" spans="7:23">
      <c r="G327" s="720">
        <v>1</v>
      </c>
      <c r="H327" s="710" t="s">
        <v>72</v>
      </c>
      <c r="I327" s="711">
        <v>8022</v>
      </c>
      <c r="J327" s="711">
        <v>66</v>
      </c>
      <c r="K327" s="711" t="s">
        <v>220</v>
      </c>
      <c r="L327" s="685" t="s">
        <v>221</v>
      </c>
      <c r="M327" s="685">
        <f>+G327*J327</f>
        <v>66</v>
      </c>
      <c r="O327" s="240">
        <v>12</v>
      </c>
      <c r="P327" s="240">
        <v>5</v>
      </c>
      <c r="Q327" s="253">
        <f t="shared" si="19"/>
        <v>60</v>
      </c>
      <c r="S327" s="4">
        <v>0</v>
      </c>
      <c r="T327" s="4">
        <v>0</v>
      </c>
      <c r="U327" s="20">
        <f t="shared" si="21"/>
        <v>0</v>
      </c>
      <c r="V327" s="4"/>
      <c r="W327" s="4"/>
    </row>
    <row r="328" spans="7:23" ht="15.75" thickBot="1">
      <c r="G328" s="722"/>
      <c r="H328" s="703"/>
      <c r="I328" s="705"/>
      <c r="J328" s="705"/>
      <c r="K328" s="705"/>
      <c r="L328" s="687"/>
      <c r="M328" s="687"/>
      <c r="O328" s="5">
        <v>6</v>
      </c>
      <c r="P328" s="5">
        <v>1</v>
      </c>
      <c r="Q328" s="78">
        <f t="shared" si="19"/>
        <v>6</v>
      </c>
      <c r="S328" s="4">
        <v>0</v>
      </c>
      <c r="T328" s="4">
        <v>0</v>
      </c>
      <c r="U328" s="20">
        <f t="shared" si="21"/>
        <v>0</v>
      </c>
      <c r="V328" s="4"/>
      <c r="W328" s="4"/>
    </row>
    <row r="329" spans="7:23">
      <c r="G329" s="720">
        <v>22</v>
      </c>
      <c r="H329" s="710" t="s">
        <v>74</v>
      </c>
      <c r="I329" s="711">
        <v>8009</v>
      </c>
      <c r="J329" s="711" t="s">
        <v>219</v>
      </c>
      <c r="K329" s="711" t="s">
        <v>220</v>
      </c>
      <c r="L329" s="685" t="s">
        <v>221</v>
      </c>
      <c r="M329" s="713">
        <v>264</v>
      </c>
      <c r="O329" s="252">
        <v>12</v>
      </c>
      <c r="P329" s="122">
        <v>5</v>
      </c>
      <c r="Q329" s="253">
        <f t="shared" si="19"/>
        <v>60</v>
      </c>
      <c r="S329" s="4">
        <v>0</v>
      </c>
      <c r="T329" s="4">
        <v>0</v>
      </c>
      <c r="U329" s="20">
        <f t="shared" si="21"/>
        <v>0</v>
      </c>
      <c r="V329" s="4"/>
      <c r="W329" s="4"/>
    </row>
    <row r="330" spans="7:23">
      <c r="G330" s="721"/>
      <c r="H330" s="702"/>
      <c r="I330" s="704"/>
      <c r="J330" s="704"/>
      <c r="K330" s="704"/>
      <c r="L330" s="686"/>
      <c r="M330" s="714"/>
      <c r="O330" s="42">
        <v>12</v>
      </c>
      <c r="P330" s="95">
        <v>6</v>
      </c>
      <c r="Q330" s="96">
        <f t="shared" si="19"/>
        <v>72</v>
      </c>
      <c r="S330" s="4">
        <v>0</v>
      </c>
      <c r="T330" s="4">
        <v>0</v>
      </c>
      <c r="U330" s="20">
        <f t="shared" si="21"/>
        <v>0</v>
      </c>
      <c r="V330" s="4"/>
      <c r="W330" s="4"/>
    </row>
    <row r="331" spans="7:23">
      <c r="G331" s="721"/>
      <c r="H331" s="702"/>
      <c r="I331" s="704"/>
      <c r="J331" s="704"/>
      <c r="K331" s="704"/>
      <c r="L331" s="686"/>
      <c r="M331" s="714"/>
      <c r="O331" s="42">
        <v>12</v>
      </c>
      <c r="P331" s="95">
        <v>5</v>
      </c>
      <c r="Q331" s="96">
        <f t="shared" si="19"/>
        <v>60</v>
      </c>
      <c r="S331" s="4">
        <v>0</v>
      </c>
      <c r="T331" s="4">
        <v>0</v>
      </c>
      <c r="U331" s="20">
        <f t="shared" si="21"/>
        <v>0</v>
      </c>
      <c r="V331" s="4"/>
      <c r="W331" s="4"/>
    </row>
    <row r="332" spans="7:23" ht="15.75" thickBot="1">
      <c r="G332" s="722"/>
      <c r="H332" s="703"/>
      <c r="I332" s="705"/>
      <c r="J332" s="705"/>
      <c r="K332" s="705"/>
      <c r="L332" s="687"/>
      <c r="M332" s="715"/>
      <c r="O332" s="13">
        <v>12</v>
      </c>
      <c r="P332" s="99">
        <v>6</v>
      </c>
      <c r="Q332" s="78">
        <f t="shared" si="19"/>
        <v>72</v>
      </c>
      <c r="S332" s="4">
        <v>0</v>
      </c>
      <c r="T332" s="4">
        <v>0</v>
      </c>
      <c r="U332" s="20">
        <f t="shared" si="21"/>
        <v>0</v>
      </c>
      <c r="V332" s="4"/>
      <c r="W332" s="4"/>
    </row>
    <row r="333" spans="7:23">
      <c r="G333" s="720">
        <v>1</v>
      </c>
      <c r="H333" s="710" t="s">
        <v>74</v>
      </c>
      <c r="I333" s="711">
        <v>8009</v>
      </c>
      <c r="J333" s="711">
        <v>48</v>
      </c>
      <c r="K333" s="711" t="s">
        <v>220</v>
      </c>
      <c r="L333" s="685" t="s">
        <v>221</v>
      </c>
      <c r="M333" s="685">
        <f>+G333*J333</f>
        <v>48</v>
      </c>
      <c r="O333" s="240">
        <v>8</v>
      </c>
      <c r="P333" s="240">
        <v>5</v>
      </c>
      <c r="Q333" s="253">
        <f t="shared" si="19"/>
        <v>40</v>
      </c>
      <c r="S333" s="4">
        <v>0</v>
      </c>
      <c r="T333" s="4">
        <v>0</v>
      </c>
      <c r="U333" s="20">
        <f t="shared" si="21"/>
        <v>0</v>
      </c>
      <c r="V333" s="4"/>
      <c r="W333" s="4"/>
    </row>
    <row r="334" spans="7:23" ht="15.75" thickBot="1">
      <c r="G334" s="722"/>
      <c r="H334" s="703"/>
      <c r="I334" s="705"/>
      <c r="J334" s="705"/>
      <c r="K334" s="705"/>
      <c r="L334" s="687"/>
      <c r="M334" s="687"/>
      <c r="O334" s="61">
        <v>12</v>
      </c>
      <c r="P334" s="61">
        <v>1</v>
      </c>
      <c r="Q334" s="81">
        <f t="shared" si="19"/>
        <v>12</v>
      </c>
      <c r="S334" s="4">
        <v>0</v>
      </c>
      <c r="T334" s="4">
        <v>0</v>
      </c>
      <c r="U334" s="20">
        <f t="shared" si="21"/>
        <v>0</v>
      </c>
      <c r="V334" s="4"/>
      <c r="W334" s="4"/>
    </row>
    <row r="335" spans="7:23">
      <c r="G335" s="720">
        <v>1</v>
      </c>
      <c r="H335" s="710" t="s">
        <v>74</v>
      </c>
      <c r="I335" s="711">
        <v>8009</v>
      </c>
      <c r="J335" s="711">
        <v>40</v>
      </c>
      <c r="K335" s="711" t="s">
        <v>220</v>
      </c>
      <c r="L335" s="685" t="s">
        <v>221</v>
      </c>
      <c r="M335" s="685">
        <f>+G335*J335</f>
        <v>40</v>
      </c>
      <c r="O335" s="192">
        <v>6</v>
      </c>
      <c r="P335" s="291">
        <v>5</v>
      </c>
      <c r="Q335" s="96">
        <f t="shared" si="19"/>
        <v>30</v>
      </c>
      <c r="S335" s="4">
        <v>0</v>
      </c>
      <c r="T335" s="4">
        <v>0</v>
      </c>
      <c r="U335" s="20">
        <f t="shared" si="21"/>
        <v>0</v>
      </c>
      <c r="V335" s="4"/>
      <c r="W335" s="4"/>
    </row>
    <row r="336" spans="7:23" ht="15.75" thickBot="1">
      <c r="G336" s="722"/>
      <c r="H336" s="703"/>
      <c r="I336" s="705"/>
      <c r="J336" s="705"/>
      <c r="K336" s="705"/>
      <c r="L336" s="687"/>
      <c r="M336" s="687"/>
      <c r="O336" s="5">
        <v>10</v>
      </c>
      <c r="P336" s="5">
        <v>1</v>
      </c>
      <c r="Q336" s="101">
        <f t="shared" si="19"/>
        <v>10</v>
      </c>
      <c r="S336" s="4">
        <v>0</v>
      </c>
      <c r="T336" s="4">
        <v>0</v>
      </c>
      <c r="U336" s="20">
        <f t="shared" si="21"/>
        <v>0</v>
      </c>
      <c r="V336" s="4"/>
      <c r="W336" s="4"/>
    </row>
    <row r="337" spans="7:23">
      <c r="G337" s="720">
        <v>3</v>
      </c>
      <c r="H337" s="710" t="s">
        <v>77</v>
      </c>
      <c r="I337" s="711">
        <v>8018</v>
      </c>
      <c r="J337" s="711" t="s">
        <v>219</v>
      </c>
      <c r="K337" s="711" t="s">
        <v>220</v>
      </c>
      <c r="L337" s="685" t="s">
        <v>221</v>
      </c>
      <c r="M337" s="685">
        <v>264</v>
      </c>
      <c r="O337" s="252">
        <v>12</v>
      </c>
      <c r="P337" s="122">
        <v>5</v>
      </c>
      <c r="Q337" s="253">
        <f t="shared" si="19"/>
        <v>60</v>
      </c>
      <c r="S337" s="4">
        <v>0</v>
      </c>
      <c r="T337" s="4">
        <v>0</v>
      </c>
      <c r="U337" s="20">
        <f t="shared" si="21"/>
        <v>0</v>
      </c>
      <c r="V337" s="4"/>
      <c r="W337" s="4"/>
    </row>
    <row r="338" spans="7:23">
      <c r="G338" s="721"/>
      <c r="H338" s="702"/>
      <c r="I338" s="704"/>
      <c r="J338" s="704"/>
      <c r="K338" s="704"/>
      <c r="L338" s="686"/>
      <c r="M338" s="686"/>
      <c r="O338" s="42">
        <v>12</v>
      </c>
      <c r="P338" s="95">
        <v>6</v>
      </c>
      <c r="Q338" s="96">
        <f t="shared" si="19"/>
        <v>72</v>
      </c>
      <c r="S338" s="4">
        <v>0</v>
      </c>
      <c r="T338" s="4">
        <v>0</v>
      </c>
      <c r="U338" s="20">
        <f t="shared" si="21"/>
        <v>0</v>
      </c>
      <c r="V338" s="4"/>
      <c r="W338" s="4"/>
    </row>
    <row r="339" spans="7:23">
      <c r="G339" s="721"/>
      <c r="H339" s="702"/>
      <c r="I339" s="704"/>
      <c r="J339" s="704"/>
      <c r="K339" s="704"/>
      <c r="L339" s="686"/>
      <c r="M339" s="686"/>
      <c r="O339" s="42">
        <v>12</v>
      </c>
      <c r="P339" s="95">
        <v>5</v>
      </c>
      <c r="Q339" s="96">
        <f t="shared" si="19"/>
        <v>60</v>
      </c>
      <c r="S339" s="4">
        <v>0</v>
      </c>
      <c r="T339" s="4">
        <v>0</v>
      </c>
      <c r="U339" s="20">
        <f t="shared" si="21"/>
        <v>0</v>
      </c>
      <c r="V339" s="4"/>
      <c r="W339" s="4"/>
    </row>
    <row r="340" spans="7:23" ht="15.75" thickBot="1">
      <c r="G340" s="763"/>
      <c r="H340" s="736"/>
      <c r="I340" s="734"/>
      <c r="J340" s="734"/>
      <c r="K340" s="734"/>
      <c r="L340" s="688"/>
      <c r="M340" s="686"/>
      <c r="O340" s="13">
        <v>12</v>
      </c>
      <c r="P340" s="99">
        <v>6</v>
      </c>
      <c r="Q340" s="78">
        <f t="shared" si="19"/>
        <v>72</v>
      </c>
      <c r="S340" s="4">
        <v>0</v>
      </c>
      <c r="T340" s="4">
        <v>0</v>
      </c>
      <c r="U340" s="20">
        <f t="shared" si="21"/>
        <v>0</v>
      </c>
      <c r="V340" s="4"/>
      <c r="W340" s="4"/>
    </row>
    <row r="341" spans="7:23" ht="15.75" thickBot="1">
      <c r="G341" s="280">
        <v>1</v>
      </c>
      <c r="H341" s="149" t="s">
        <v>77</v>
      </c>
      <c r="I341" s="144">
        <v>8018</v>
      </c>
      <c r="J341" s="62">
        <v>60</v>
      </c>
      <c r="K341" s="62">
        <v>60</v>
      </c>
      <c r="L341" s="278" t="s">
        <v>221</v>
      </c>
      <c r="M341" s="13">
        <f>+G341*J341</f>
        <v>60</v>
      </c>
      <c r="O341" s="80">
        <v>10</v>
      </c>
      <c r="P341" s="150">
        <v>6</v>
      </c>
      <c r="Q341" s="102">
        <f t="shared" si="19"/>
        <v>60</v>
      </c>
      <c r="S341" s="4"/>
      <c r="T341" s="4"/>
      <c r="U341" s="20"/>
      <c r="V341" s="4"/>
      <c r="W341" s="4"/>
    </row>
    <row r="342" spans="7:23">
      <c r="G342" s="704">
        <v>8</v>
      </c>
      <c r="H342" s="702" t="s">
        <v>79</v>
      </c>
      <c r="I342" s="704">
        <v>8023</v>
      </c>
      <c r="J342" s="704" t="s">
        <v>219</v>
      </c>
      <c r="K342" s="704" t="s">
        <v>220</v>
      </c>
      <c r="L342" s="686" t="s">
        <v>221</v>
      </c>
      <c r="M342" s="686">
        <v>264</v>
      </c>
      <c r="O342" s="252">
        <v>12</v>
      </c>
      <c r="P342" s="122">
        <v>5</v>
      </c>
      <c r="Q342" s="253">
        <f t="shared" si="19"/>
        <v>60</v>
      </c>
      <c r="S342" s="4">
        <v>0</v>
      </c>
      <c r="T342" s="4">
        <v>0</v>
      </c>
      <c r="U342" s="20">
        <f t="shared" ref="U342:U369" si="22">S342*T342</f>
        <v>0</v>
      </c>
      <c r="V342" s="4"/>
      <c r="W342" s="4"/>
    </row>
    <row r="343" spans="7:23">
      <c r="G343" s="704"/>
      <c r="H343" s="702"/>
      <c r="I343" s="704"/>
      <c r="J343" s="704"/>
      <c r="K343" s="704"/>
      <c r="L343" s="686"/>
      <c r="M343" s="686"/>
      <c r="O343" s="42">
        <v>12</v>
      </c>
      <c r="P343" s="95">
        <v>6</v>
      </c>
      <c r="Q343" s="96">
        <f t="shared" si="19"/>
        <v>72</v>
      </c>
      <c r="S343" s="4">
        <v>0</v>
      </c>
      <c r="T343" s="4">
        <v>0</v>
      </c>
      <c r="U343" s="20">
        <f t="shared" si="22"/>
        <v>0</v>
      </c>
      <c r="V343" s="4"/>
      <c r="W343" s="4"/>
    </row>
    <row r="344" spans="7:23">
      <c r="G344" s="704"/>
      <c r="H344" s="702"/>
      <c r="I344" s="704"/>
      <c r="J344" s="704"/>
      <c r="K344" s="704"/>
      <c r="L344" s="686"/>
      <c r="M344" s="686"/>
      <c r="O344" s="42">
        <v>12</v>
      </c>
      <c r="P344" s="95">
        <v>5</v>
      </c>
      <c r="Q344" s="96">
        <f t="shared" si="19"/>
        <v>60</v>
      </c>
      <c r="S344" s="4">
        <v>0</v>
      </c>
      <c r="T344" s="4">
        <v>0</v>
      </c>
      <c r="U344" s="20">
        <f t="shared" si="22"/>
        <v>0</v>
      </c>
      <c r="V344" s="4"/>
      <c r="W344" s="4"/>
    </row>
    <row r="345" spans="7:23" ht="15.75" thickBot="1">
      <c r="G345" s="734"/>
      <c r="H345" s="736"/>
      <c r="I345" s="734"/>
      <c r="J345" s="734"/>
      <c r="K345" s="734"/>
      <c r="L345" s="688"/>
      <c r="M345" s="687"/>
      <c r="O345" s="13">
        <v>12</v>
      </c>
      <c r="P345" s="99">
        <v>6</v>
      </c>
      <c r="Q345" s="78">
        <f t="shared" si="19"/>
        <v>72</v>
      </c>
      <c r="S345" s="4">
        <v>0</v>
      </c>
      <c r="T345" s="4">
        <v>0</v>
      </c>
      <c r="U345" s="20">
        <f t="shared" si="22"/>
        <v>0</v>
      </c>
      <c r="V345" s="4"/>
      <c r="W345" s="4"/>
    </row>
    <row r="346" spans="7:23">
      <c r="G346" s="733">
        <v>1</v>
      </c>
      <c r="H346" s="735" t="s">
        <v>80</v>
      </c>
      <c r="I346" s="733">
        <v>8012</v>
      </c>
      <c r="J346" s="733" t="s">
        <v>219</v>
      </c>
      <c r="K346" s="733" t="s">
        <v>220</v>
      </c>
      <c r="L346" s="737" t="s">
        <v>221</v>
      </c>
      <c r="M346" s="685">
        <v>264</v>
      </c>
      <c r="O346" s="252">
        <v>12</v>
      </c>
      <c r="P346" s="122">
        <v>5</v>
      </c>
      <c r="Q346" s="253">
        <f t="shared" si="19"/>
        <v>60</v>
      </c>
      <c r="S346" s="4">
        <v>0</v>
      </c>
      <c r="T346" s="4">
        <v>0</v>
      </c>
      <c r="U346" s="20">
        <f t="shared" si="22"/>
        <v>0</v>
      </c>
      <c r="V346" s="4"/>
      <c r="W346" s="4"/>
    </row>
    <row r="347" spans="7:23">
      <c r="G347" s="704"/>
      <c r="H347" s="702"/>
      <c r="I347" s="704"/>
      <c r="J347" s="704"/>
      <c r="K347" s="704"/>
      <c r="L347" s="686"/>
      <c r="M347" s="686"/>
      <c r="O347" s="42">
        <v>12</v>
      </c>
      <c r="P347" s="95">
        <v>6</v>
      </c>
      <c r="Q347" s="96">
        <f t="shared" si="19"/>
        <v>72</v>
      </c>
      <c r="S347" s="4">
        <v>0</v>
      </c>
      <c r="T347" s="4">
        <v>0</v>
      </c>
      <c r="U347" s="20">
        <f t="shared" si="22"/>
        <v>0</v>
      </c>
      <c r="V347" s="4"/>
      <c r="W347" s="4"/>
    </row>
    <row r="348" spans="7:23">
      <c r="G348" s="704"/>
      <c r="H348" s="702"/>
      <c r="I348" s="704"/>
      <c r="J348" s="704"/>
      <c r="K348" s="704"/>
      <c r="L348" s="686"/>
      <c r="M348" s="686"/>
      <c r="O348" s="42">
        <v>12</v>
      </c>
      <c r="P348" s="95">
        <v>5</v>
      </c>
      <c r="Q348" s="96">
        <f t="shared" si="19"/>
        <v>60</v>
      </c>
      <c r="S348" s="4">
        <v>0</v>
      </c>
      <c r="T348" s="4">
        <v>0</v>
      </c>
      <c r="U348" s="20">
        <f t="shared" si="22"/>
        <v>0</v>
      </c>
      <c r="V348" s="4"/>
      <c r="W348" s="4"/>
    </row>
    <row r="349" spans="7:23" ht="15.75" thickBot="1">
      <c r="G349" s="734"/>
      <c r="H349" s="736"/>
      <c r="I349" s="734"/>
      <c r="J349" s="734"/>
      <c r="K349" s="734"/>
      <c r="L349" s="688"/>
      <c r="M349" s="687"/>
      <c r="O349" s="13">
        <v>12</v>
      </c>
      <c r="P349" s="99">
        <v>6</v>
      </c>
      <c r="Q349" s="78">
        <f t="shared" si="19"/>
        <v>72</v>
      </c>
      <c r="S349" s="4">
        <v>0</v>
      </c>
      <c r="T349" s="4">
        <v>0</v>
      </c>
      <c r="U349" s="20">
        <f t="shared" si="22"/>
        <v>0</v>
      </c>
      <c r="V349" s="4"/>
      <c r="W349" s="4"/>
    </row>
    <row r="350" spans="7:23">
      <c r="G350" s="733">
        <v>3</v>
      </c>
      <c r="H350" s="735" t="s">
        <v>81</v>
      </c>
      <c r="I350" s="733">
        <v>8004</v>
      </c>
      <c r="J350" s="733" t="s">
        <v>219</v>
      </c>
      <c r="K350" s="733" t="s">
        <v>220</v>
      </c>
      <c r="L350" s="737" t="s">
        <v>221</v>
      </c>
      <c r="M350" s="685">
        <v>264</v>
      </c>
      <c r="O350" s="252">
        <v>12</v>
      </c>
      <c r="P350" s="122">
        <v>5</v>
      </c>
      <c r="Q350" s="253">
        <f t="shared" si="19"/>
        <v>60</v>
      </c>
      <c r="R350" s="74"/>
      <c r="S350" s="4">
        <v>0</v>
      </c>
      <c r="T350" s="4">
        <v>0</v>
      </c>
      <c r="U350" s="20">
        <f t="shared" si="22"/>
        <v>0</v>
      </c>
      <c r="V350" s="4"/>
      <c r="W350" s="4"/>
    </row>
    <row r="351" spans="7:23">
      <c r="G351" s="704"/>
      <c r="H351" s="702"/>
      <c r="I351" s="704"/>
      <c r="J351" s="704"/>
      <c r="K351" s="704"/>
      <c r="L351" s="686"/>
      <c r="M351" s="686"/>
      <c r="O351" s="42">
        <v>12</v>
      </c>
      <c r="P351" s="95">
        <v>6</v>
      </c>
      <c r="Q351" s="96">
        <f t="shared" si="19"/>
        <v>72</v>
      </c>
      <c r="S351" s="4">
        <v>0</v>
      </c>
      <c r="T351" s="4">
        <v>0</v>
      </c>
      <c r="U351" s="20">
        <f t="shared" si="22"/>
        <v>0</v>
      </c>
      <c r="V351" s="4"/>
      <c r="W351" s="4"/>
    </row>
    <row r="352" spans="7:23">
      <c r="G352" s="704"/>
      <c r="H352" s="702"/>
      <c r="I352" s="704"/>
      <c r="J352" s="704"/>
      <c r="K352" s="704"/>
      <c r="L352" s="686"/>
      <c r="M352" s="686"/>
      <c r="O352" s="42">
        <v>12</v>
      </c>
      <c r="P352" s="95">
        <v>5</v>
      </c>
      <c r="Q352" s="96">
        <f t="shared" si="19"/>
        <v>60</v>
      </c>
      <c r="S352" s="4">
        <v>0</v>
      </c>
      <c r="T352" s="4">
        <v>0</v>
      </c>
      <c r="U352" s="20">
        <f t="shared" si="22"/>
        <v>0</v>
      </c>
      <c r="V352" s="4"/>
      <c r="W352" s="4"/>
    </row>
    <row r="353" spans="7:23" ht="15.75" thickBot="1">
      <c r="G353" s="734"/>
      <c r="H353" s="736"/>
      <c r="I353" s="734"/>
      <c r="J353" s="734"/>
      <c r="K353" s="734"/>
      <c r="L353" s="688"/>
      <c r="M353" s="687"/>
      <c r="O353" s="13">
        <v>12</v>
      </c>
      <c r="P353" s="99">
        <v>6</v>
      </c>
      <c r="Q353" s="78">
        <f t="shared" si="19"/>
        <v>72</v>
      </c>
      <c r="S353" s="4">
        <v>0</v>
      </c>
      <c r="T353" s="4">
        <v>0</v>
      </c>
      <c r="U353" s="20">
        <f t="shared" si="22"/>
        <v>0</v>
      </c>
      <c r="V353" s="4"/>
      <c r="W353" s="4"/>
    </row>
    <row r="354" spans="7:23">
      <c r="G354" s="733">
        <v>13</v>
      </c>
      <c r="H354" s="735" t="s">
        <v>82</v>
      </c>
      <c r="I354" s="733">
        <v>8003</v>
      </c>
      <c r="J354" s="733" t="s">
        <v>219</v>
      </c>
      <c r="K354" s="733" t="s">
        <v>220</v>
      </c>
      <c r="L354" s="737" t="s">
        <v>221</v>
      </c>
      <c r="M354" s="685">
        <v>264</v>
      </c>
      <c r="O354" s="252">
        <v>12</v>
      </c>
      <c r="P354" s="122">
        <v>5</v>
      </c>
      <c r="Q354" s="253">
        <f t="shared" si="19"/>
        <v>60</v>
      </c>
      <c r="S354" s="4">
        <v>0</v>
      </c>
      <c r="T354" s="4">
        <v>0</v>
      </c>
      <c r="U354" s="20">
        <f t="shared" si="22"/>
        <v>0</v>
      </c>
      <c r="V354" s="4"/>
      <c r="W354" s="4"/>
    </row>
    <row r="355" spans="7:23">
      <c r="G355" s="704"/>
      <c r="H355" s="702"/>
      <c r="I355" s="704"/>
      <c r="J355" s="704"/>
      <c r="K355" s="704"/>
      <c r="L355" s="686"/>
      <c r="M355" s="686"/>
      <c r="O355" s="42">
        <v>12</v>
      </c>
      <c r="P355" s="95">
        <v>6</v>
      </c>
      <c r="Q355" s="96">
        <f t="shared" si="19"/>
        <v>72</v>
      </c>
      <c r="S355" s="4">
        <v>0</v>
      </c>
      <c r="T355" s="4">
        <v>0</v>
      </c>
      <c r="U355" s="20">
        <f t="shared" si="22"/>
        <v>0</v>
      </c>
      <c r="V355" s="4"/>
      <c r="W355" s="4"/>
    </row>
    <row r="356" spans="7:23">
      <c r="G356" s="704"/>
      <c r="H356" s="702"/>
      <c r="I356" s="704"/>
      <c r="J356" s="704"/>
      <c r="K356" s="704"/>
      <c r="L356" s="686"/>
      <c r="M356" s="686"/>
      <c r="O356" s="42">
        <v>12</v>
      </c>
      <c r="P356" s="95">
        <v>5</v>
      </c>
      <c r="Q356" s="96">
        <f t="shared" si="19"/>
        <v>60</v>
      </c>
      <c r="S356" s="4">
        <v>0</v>
      </c>
      <c r="T356" s="4">
        <v>0</v>
      </c>
      <c r="U356" s="20">
        <f t="shared" si="22"/>
        <v>0</v>
      </c>
      <c r="V356" s="4"/>
      <c r="W356" s="4"/>
    </row>
    <row r="357" spans="7:23" ht="15.75" thickBot="1">
      <c r="G357" s="734"/>
      <c r="H357" s="736"/>
      <c r="I357" s="734"/>
      <c r="J357" s="734"/>
      <c r="K357" s="734"/>
      <c r="L357" s="688"/>
      <c r="M357" s="688"/>
      <c r="O357" s="13">
        <v>12</v>
      </c>
      <c r="P357" s="99">
        <v>6</v>
      </c>
      <c r="Q357" s="78">
        <f t="shared" si="19"/>
        <v>72</v>
      </c>
      <c r="S357" s="4">
        <v>0</v>
      </c>
      <c r="T357" s="4">
        <v>0</v>
      </c>
      <c r="U357" s="20">
        <f t="shared" si="22"/>
        <v>0</v>
      </c>
      <c r="V357" s="4"/>
      <c r="W357" s="4"/>
    </row>
    <row r="358" spans="7:23">
      <c r="G358" s="743">
        <v>2</v>
      </c>
      <c r="H358" s="741" t="s">
        <v>83</v>
      </c>
      <c r="I358" s="743">
        <v>8005</v>
      </c>
      <c r="J358" s="743" t="s">
        <v>219</v>
      </c>
      <c r="K358" s="743" t="s">
        <v>220</v>
      </c>
      <c r="L358" s="745" t="s">
        <v>221</v>
      </c>
      <c r="M358" s="685">
        <v>264</v>
      </c>
      <c r="O358" s="252">
        <v>12</v>
      </c>
      <c r="P358" s="122">
        <v>5</v>
      </c>
      <c r="Q358" s="253">
        <f t="shared" si="19"/>
        <v>60</v>
      </c>
      <c r="R358" s="10"/>
      <c r="S358" s="4">
        <v>0</v>
      </c>
      <c r="T358" s="4">
        <v>0</v>
      </c>
      <c r="U358" s="20">
        <f t="shared" si="22"/>
        <v>0</v>
      </c>
      <c r="V358" s="4"/>
      <c r="W358" s="4"/>
    </row>
    <row r="359" spans="7:23">
      <c r="G359" s="743"/>
      <c r="H359" s="741"/>
      <c r="I359" s="743"/>
      <c r="J359" s="743"/>
      <c r="K359" s="743"/>
      <c r="L359" s="745"/>
      <c r="M359" s="686"/>
      <c r="O359" s="42">
        <v>12</v>
      </c>
      <c r="P359" s="95">
        <v>6</v>
      </c>
      <c r="Q359" s="96">
        <f t="shared" si="19"/>
        <v>72</v>
      </c>
      <c r="S359" s="4">
        <v>0</v>
      </c>
      <c r="T359" s="4">
        <v>0</v>
      </c>
      <c r="U359" s="20">
        <f t="shared" si="22"/>
        <v>0</v>
      </c>
      <c r="V359" s="4"/>
      <c r="W359" s="4"/>
    </row>
    <row r="360" spans="7:23">
      <c r="G360" s="743"/>
      <c r="H360" s="741"/>
      <c r="I360" s="743"/>
      <c r="J360" s="743"/>
      <c r="K360" s="743"/>
      <c r="L360" s="745"/>
      <c r="M360" s="686"/>
      <c r="O360" s="42">
        <v>12</v>
      </c>
      <c r="P360" s="95">
        <v>5</v>
      </c>
      <c r="Q360" s="96">
        <f t="shared" si="19"/>
        <v>60</v>
      </c>
      <c r="S360" s="4">
        <v>0</v>
      </c>
      <c r="T360" s="4">
        <v>0</v>
      </c>
      <c r="U360" s="20">
        <f t="shared" si="22"/>
        <v>0</v>
      </c>
      <c r="V360" s="4"/>
      <c r="W360" s="4"/>
    </row>
    <row r="361" spans="7:23" ht="15.75" thickBot="1">
      <c r="G361" s="743"/>
      <c r="H361" s="741"/>
      <c r="I361" s="743"/>
      <c r="J361" s="743"/>
      <c r="K361" s="743"/>
      <c r="L361" s="745"/>
      <c r="M361" s="688"/>
      <c r="O361" s="13">
        <v>12</v>
      </c>
      <c r="P361" s="99">
        <v>6</v>
      </c>
      <c r="Q361" s="78">
        <f t="shared" si="19"/>
        <v>72</v>
      </c>
      <c r="S361" s="4">
        <v>0</v>
      </c>
      <c r="T361" s="4">
        <v>0</v>
      </c>
      <c r="U361" s="20">
        <f t="shared" si="22"/>
        <v>0</v>
      </c>
      <c r="V361" s="4"/>
      <c r="W361" s="4"/>
    </row>
    <row r="362" spans="7:23">
      <c r="G362" s="743">
        <v>8</v>
      </c>
      <c r="H362" s="741" t="s">
        <v>84</v>
      </c>
      <c r="I362" s="743">
        <v>8010</v>
      </c>
      <c r="J362" s="743" t="s">
        <v>219</v>
      </c>
      <c r="K362" s="743" t="s">
        <v>220</v>
      </c>
      <c r="L362" s="745" t="s">
        <v>221</v>
      </c>
      <c r="M362" s="685">
        <v>264</v>
      </c>
      <c r="O362" s="252">
        <v>12</v>
      </c>
      <c r="P362" s="122">
        <v>5</v>
      </c>
      <c r="Q362" s="253">
        <f t="shared" si="19"/>
        <v>60</v>
      </c>
      <c r="R362" s="10"/>
      <c r="S362" s="4">
        <v>0</v>
      </c>
      <c r="T362" s="4">
        <v>0</v>
      </c>
      <c r="U362" s="20">
        <f t="shared" si="22"/>
        <v>0</v>
      </c>
      <c r="V362" s="4"/>
      <c r="W362" s="4"/>
    </row>
    <row r="363" spans="7:23">
      <c r="G363" s="743"/>
      <c r="H363" s="741"/>
      <c r="I363" s="743"/>
      <c r="J363" s="743"/>
      <c r="K363" s="743"/>
      <c r="L363" s="745"/>
      <c r="M363" s="686"/>
      <c r="O363" s="42">
        <v>12</v>
      </c>
      <c r="P363" s="95">
        <v>6</v>
      </c>
      <c r="Q363" s="96">
        <f t="shared" ref="Q363:Q381" si="23">O363*P363</f>
        <v>72</v>
      </c>
      <c r="S363" s="4">
        <v>0</v>
      </c>
      <c r="T363" s="4">
        <v>0</v>
      </c>
      <c r="U363" s="20">
        <f t="shared" si="22"/>
        <v>0</v>
      </c>
      <c r="V363" s="4"/>
      <c r="W363" s="4"/>
    </row>
    <row r="364" spans="7:23">
      <c r="G364" s="743"/>
      <c r="H364" s="741"/>
      <c r="I364" s="743"/>
      <c r="J364" s="743"/>
      <c r="K364" s="743"/>
      <c r="L364" s="745"/>
      <c r="M364" s="686"/>
      <c r="O364" s="42">
        <v>12</v>
      </c>
      <c r="P364" s="95">
        <v>5</v>
      </c>
      <c r="Q364" s="96">
        <f t="shared" si="23"/>
        <v>60</v>
      </c>
      <c r="S364" s="4">
        <v>0</v>
      </c>
      <c r="T364" s="4">
        <v>0</v>
      </c>
      <c r="U364" s="20">
        <f t="shared" si="22"/>
        <v>0</v>
      </c>
      <c r="V364" s="4"/>
      <c r="W364" s="4"/>
    </row>
    <row r="365" spans="7:23" ht="15.75" thickBot="1">
      <c r="G365" s="743"/>
      <c r="H365" s="741"/>
      <c r="I365" s="743"/>
      <c r="J365" s="743"/>
      <c r="K365" s="743"/>
      <c r="L365" s="745"/>
      <c r="M365" s="688"/>
      <c r="O365" s="13">
        <v>12</v>
      </c>
      <c r="P365" s="99">
        <v>6</v>
      </c>
      <c r="Q365" s="78">
        <f t="shared" si="23"/>
        <v>72</v>
      </c>
      <c r="S365" s="4">
        <v>0</v>
      </c>
      <c r="T365" s="4">
        <v>0</v>
      </c>
      <c r="U365" s="20">
        <f t="shared" si="22"/>
        <v>0</v>
      </c>
      <c r="V365" s="4"/>
      <c r="W365" s="4"/>
    </row>
    <row r="366" spans="7:23">
      <c r="G366" s="743">
        <v>4</v>
      </c>
      <c r="H366" s="741" t="s">
        <v>86</v>
      </c>
      <c r="I366" s="743">
        <v>8013</v>
      </c>
      <c r="J366" s="743" t="s">
        <v>219</v>
      </c>
      <c r="K366" s="743" t="s">
        <v>220</v>
      </c>
      <c r="L366" s="745" t="s">
        <v>221</v>
      </c>
      <c r="M366" s="685">
        <v>264</v>
      </c>
      <c r="O366" s="252">
        <v>12</v>
      </c>
      <c r="P366" s="122">
        <v>5</v>
      </c>
      <c r="Q366" s="253">
        <f t="shared" si="23"/>
        <v>60</v>
      </c>
      <c r="R366" s="10"/>
      <c r="S366" s="4">
        <v>0</v>
      </c>
      <c r="T366" s="4">
        <v>0</v>
      </c>
      <c r="U366" s="20">
        <f t="shared" si="22"/>
        <v>0</v>
      </c>
      <c r="V366" s="4"/>
      <c r="W366" s="4"/>
    </row>
    <row r="367" spans="7:23">
      <c r="G367" s="743"/>
      <c r="H367" s="741"/>
      <c r="I367" s="743"/>
      <c r="J367" s="743"/>
      <c r="K367" s="743"/>
      <c r="L367" s="745"/>
      <c r="M367" s="686"/>
      <c r="O367" s="42">
        <v>12</v>
      </c>
      <c r="P367" s="95">
        <v>6</v>
      </c>
      <c r="Q367" s="96">
        <f t="shared" si="23"/>
        <v>72</v>
      </c>
      <c r="S367" s="4">
        <v>0</v>
      </c>
      <c r="T367" s="4">
        <v>0</v>
      </c>
      <c r="U367" s="20">
        <f t="shared" si="22"/>
        <v>0</v>
      </c>
      <c r="V367" s="4"/>
      <c r="W367" s="4"/>
    </row>
    <row r="368" spans="7:23">
      <c r="G368" s="743"/>
      <c r="H368" s="741"/>
      <c r="I368" s="743"/>
      <c r="J368" s="743"/>
      <c r="K368" s="743"/>
      <c r="L368" s="745"/>
      <c r="M368" s="686"/>
      <c r="O368" s="42">
        <v>12</v>
      </c>
      <c r="P368" s="95">
        <v>5</v>
      </c>
      <c r="Q368" s="96">
        <f t="shared" si="23"/>
        <v>60</v>
      </c>
      <c r="S368" s="4">
        <v>0</v>
      </c>
      <c r="T368" s="4">
        <v>0</v>
      </c>
      <c r="U368" s="20">
        <f t="shared" si="22"/>
        <v>0</v>
      </c>
      <c r="V368" s="4"/>
      <c r="W368" s="4"/>
    </row>
    <row r="369" spans="7:23" ht="15.75" thickBot="1">
      <c r="G369" s="743"/>
      <c r="H369" s="741"/>
      <c r="I369" s="743"/>
      <c r="J369" s="743"/>
      <c r="K369" s="743"/>
      <c r="L369" s="745"/>
      <c r="M369" s="688"/>
      <c r="O369" s="13">
        <v>12</v>
      </c>
      <c r="P369" s="99">
        <v>6</v>
      </c>
      <c r="Q369" s="78">
        <f t="shared" si="23"/>
        <v>72</v>
      </c>
      <c r="S369" s="4">
        <v>0</v>
      </c>
      <c r="T369" s="4">
        <v>0</v>
      </c>
      <c r="U369" s="20">
        <f t="shared" si="22"/>
        <v>0</v>
      </c>
      <c r="V369" s="4"/>
      <c r="W369" s="4"/>
    </row>
    <row r="370" spans="7:23" ht="15.75" thickBot="1">
      <c r="G370" s="306">
        <v>1</v>
      </c>
      <c r="H370" s="307" t="s">
        <v>86</v>
      </c>
      <c r="I370" s="308">
        <v>8013</v>
      </c>
      <c r="J370" s="308">
        <v>72</v>
      </c>
      <c r="K370" s="308" t="s">
        <v>348</v>
      </c>
      <c r="L370" s="309" t="s">
        <v>221</v>
      </c>
      <c r="M370" s="222">
        <f>+G370*J370</f>
        <v>72</v>
      </c>
      <c r="O370" s="59">
        <v>12</v>
      </c>
      <c r="P370" s="303">
        <v>6</v>
      </c>
      <c r="Q370" s="310">
        <f t="shared" si="23"/>
        <v>72</v>
      </c>
      <c r="S370" s="4">
        <v>0</v>
      </c>
      <c r="T370" s="4">
        <v>0</v>
      </c>
      <c r="U370" s="20">
        <v>0</v>
      </c>
      <c r="V370" s="4"/>
      <c r="W370" s="4"/>
    </row>
    <row r="371" spans="7:23" ht="15.75" thickBot="1">
      <c r="G371" s="191">
        <v>2</v>
      </c>
      <c r="H371" s="152" t="s">
        <v>88</v>
      </c>
      <c r="I371" s="146">
        <v>8015</v>
      </c>
      <c r="J371" s="43">
        <v>60</v>
      </c>
      <c r="K371" s="43" t="s">
        <v>220</v>
      </c>
      <c r="L371" s="31" t="s">
        <v>221</v>
      </c>
      <c r="M371" s="31">
        <f>+J371</f>
        <v>60</v>
      </c>
      <c r="O371" s="299">
        <v>12</v>
      </c>
      <c r="P371" s="299">
        <v>5</v>
      </c>
      <c r="Q371" s="300">
        <f t="shared" si="23"/>
        <v>60</v>
      </c>
      <c r="R371" s="10"/>
      <c r="S371" s="4">
        <v>0</v>
      </c>
      <c r="T371" s="4">
        <v>0</v>
      </c>
      <c r="U371" s="20">
        <f t="shared" ref="U371" si="24">S371*T371</f>
        <v>0</v>
      </c>
      <c r="V371" s="4"/>
      <c r="W371" s="4"/>
    </row>
    <row r="372" spans="7:23">
      <c r="G372" s="779">
        <v>1</v>
      </c>
      <c r="H372" s="735" t="s">
        <v>88</v>
      </c>
      <c r="I372" s="733">
        <v>8015</v>
      </c>
      <c r="J372" s="733" t="s">
        <v>219</v>
      </c>
      <c r="K372" s="733" t="s">
        <v>220</v>
      </c>
      <c r="L372" s="737" t="s">
        <v>221</v>
      </c>
      <c r="M372" s="685">
        <v>264</v>
      </c>
      <c r="O372" s="252">
        <v>12</v>
      </c>
      <c r="P372" s="122">
        <v>5</v>
      </c>
      <c r="Q372" s="253">
        <f t="shared" si="23"/>
        <v>60</v>
      </c>
      <c r="R372" s="10"/>
      <c r="S372" s="4"/>
      <c r="T372" s="4"/>
      <c r="U372" s="20"/>
      <c r="V372" s="4"/>
      <c r="W372" s="4"/>
    </row>
    <row r="373" spans="7:23">
      <c r="G373" s="721"/>
      <c r="H373" s="702"/>
      <c r="I373" s="704"/>
      <c r="J373" s="704"/>
      <c r="K373" s="704"/>
      <c r="L373" s="686"/>
      <c r="M373" s="686"/>
      <c r="O373" s="42">
        <v>12</v>
      </c>
      <c r="P373" s="95">
        <v>6</v>
      </c>
      <c r="Q373" s="96">
        <f t="shared" si="23"/>
        <v>72</v>
      </c>
      <c r="R373" s="10"/>
      <c r="S373" s="4"/>
      <c r="T373" s="4"/>
      <c r="U373" s="20"/>
      <c r="V373" s="4"/>
      <c r="W373" s="4"/>
    </row>
    <row r="374" spans="7:23">
      <c r="G374" s="721"/>
      <c r="H374" s="702"/>
      <c r="I374" s="704"/>
      <c r="J374" s="704"/>
      <c r="K374" s="704"/>
      <c r="L374" s="686"/>
      <c r="M374" s="686"/>
      <c r="O374" s="42">
        <v>12</v>
      </c>
      <c r="P374" s="95">
        <v>5</v>
      </c>
      <c r="Q374" s="96">
        <f t="shared" si="23"/>
        <v>60</v>
      </c>
      <c r="R374" s="10"/>
      <c r="S374" s="4"/>
      <c r="T374" s="4"/>
      <c r="U374" s="20"/>
      <c r="V374" s="4"/>
      <c r="W374" s="4"/>
    </row>
    <row r="375" spans="7:23" ht="15.75" thickBot="1">
      <c r="G375" s="763"/>
      <c r="H375" s="736"/>
      <c r="I375" s="734"/>
      <c r="J375" s="734"/>
      <c r="K375" s="734"/>
      <c r="L375" s="688"/>
      <c r="M375" s="687"/>
      <c r="O375" s="13">
        <v>12</v>
      </c>
      <c r="P375" s="99">
        <v>6</v>
      </c>
      <c r="Q375" s="78">
        <f t="shared" si="23"/>
        <v>72</v>
      </c>
      <c r="R375" s="10"/>
      <c r="S375" s="4"/>
      <c r="T375" s="4"/>
      <c r="U375" s="20"/>
      <c r="V375" s="4"/>
      <c r="W375" s="4"/>
    </row>
    <row r="376" spans="7:23" ht="15.75" thickBot="1">
      <c r="G376" s="280">
        <v>1</v>
      </c>
      <c r="H376" s="151" t="s">
        <v>88</v>
      </c>
      <c r="I376" s="145">
        <v>8015</v>
      </c>
      <c r="J376" s="145">
        <v>50</v>
      </c>
      <c r="K376" s="145" t="s">
        <v>220</v>
      </c>
      <c r="L376" s="80" t="s">
        <v>221</v>
      </c>
      <c r="M376" s="80">
        <f>+G376*J376</f>
        <v>50</v>
      </c>
      <c r="O376" s="240">
        <v>10</v>
      </c>
      <c r="P376" s="7">
        <v>5</v>
      </c>
      <c r="Q376" s="79">
        <f t="shared" si="23"/>
        <v>50</v>
      </c>
      <c r="R376" s="10"/>
      <c r="S376" s="4">
        <v>0</v>
      </c>
      <c r="T376" s="4">
        <v>0</v>
      </c>
      <c r="U376" s="20">
        <f t="shared" ref="U376:U420" si="25">S376*T376</f>
        <v>0</v>
      </c>
      <c r="V376" s="4"/>
      <c r="W376" s="4"/>
    </row>
    <row r="377" spans="7:23">
      <c r="G377" s="738">
        <v>2</v>
      </c>
      <c r="H377" s="740" t="s">
        <v>90</v>
      </c>
      <c r="I377" s="742">
        <v>8006</v>
      </c>
      <c r="J377" s="742" t="s">
        <v>219</v>
      </c>
      <c r="K377" s="742" t="s">
        <v>220</v>
      </c>
      <c r="L377" s="744" t="s">
        <v>221</v>
      </c>
      <c r="M377" s="744">
        <v>264</v>
      </c>
      <c r="O377" s="252">
        <v>12</v>
      </c>
      <c r="P377" s="122">
        <v>5</v>
      </c>
      <c r="Q377" s="253">
        <f t="shared" si="23"/>
        <v>60</v>
      </c>
      <c r="R377" s="10"/>
      <c r="S377" s="4">
        <v>0</v>
      </c>
      <c r="T377" s="4">
        <v>0</v>
      </c>
      <c r="U377" s="20">
        <f t="shared" si="25"/>
        <v>0</v>
      </c>
      <c r="V377" s="4"/>
      <c r="W377" s="4"/>
    </row>
    <row r="378" spans="7:23">
      <c r="G378" s="739"/>
      <c r="H378" s="741"/>
      <c r="I378" s="743"/>
      <c r="J378" s="743"/>
      <c r="K378" s="743"/>
      <c r="L378" s="745"/>
      <c r="M378" s="745"/>
      <c r="O378" s="42">
        <v>12</v>
      </c>
      <c r="P378" s="95">
        <v>6</v>
      </c>
      <c r="Q378" s="96">
        <f t="shared" si="23"/>
        <v>72</v>
      </c>
      <c r="S378" s="4">
        <v>0</v>
      </c>
      <c r="T378" s="4">
        <v>0</v>
      </c>
      <c r="U378" s="20">
        <f t="shared" si="25"/>
        <v>0</v>
      </c>
      <c r="V378" s="4"/>
      <c r="W378" s="4"/>
    </row>
    <row r="379" spans="7:23">
      <c r="G379" s="739"/>
      <c r="H379" s="741"/>
      <c r="I379" s="743"/>
      <c r="J379" s="743"/>
      <c r="K379" s="743"/>
      <c r="L379" s="745"/>
      <c r="M379" s="745"/>
      <c r="O379" s="42">
        <v>12</v>
      </c>
      <c r="P379" s="95">
        <v>5</v>
      </c>
      <c r="Q379" s="96">
        <f t="shared" si="23"/>
        <v>60</v>
      </c>
      <c r="S379" s="4">
        <v>0</v>
      </c>
      <c r="T379" s="4">
        <v>0</v>
      </c>
      <c r="U379" s="20">
        <f t="shared" si="25"/>
        <v>0</v>
      </c>
      <c r="V379" s="4"/>
      <c r="W379" s="4"/>
    </row>
    <row r="380" spans="7:23" ht="15.75" thickBot="1">
      <c r="G380" s="739"/>
      <c r="H380" s="741"/>
      <c r="I380" s="743"/>
      <c r="J380" s="743"/>
      <c r="K380" s="743"/>
      <c r="L380" s="745"/>
      <c r="M380" s="745"/>
      <c r="O380" s="13">
        <v>12</v>
      </c>
      <c r="P380" s="99">
        <v>6</v>
      </c>
      <c r="Q380" s="78">
        <f t="shared" si="23"/>
        <v>72</v>
      </c>
      <c r="S380" s="4">
        <v>0</v>
      </c>
      <c r="T380" s="4">
        <v>0</v>
      </c>
      <c r="U380" s="20">
        <f t="shared" si="25"/>
        <v>0</v>
      </c>
      <c r="V380" s="4"/>
      <c r="W380" s="4"/>
    </row>
    <row r="381" spans="7:23" ht="15.75" thickBot="1">
      <c r="G381" s="62">
        <v>1</v>
      </c>
      <c r="H381" s="149" t="s">
        <v>90</v>
      </c>
      <c r="I381" s="144">
        <v>8006</v>
      </c>
      <c r="J381" s="62">
        <v>48</v>
      </c>
      <c r="K381" s="62" t="s">
        <v>220</v>
      </c>
      <c r="L381" s="59" t="s">
        <v>221</v>
      </c>
      <c r="M381" s="59">
        <f>+G381*J381</f>
        <v>48</v>
      </c>
      <c r="O381" s="4">
        <v>8</v>
      </c>
      <c r="P381" s="4">
        <v>6</v>
      </c>
      <c r="Q381" s="96">
        <f t="shared" si="23"/>
        <v>48</v>
      </c>
      <c r="R381" s="10"/>
      <c r="S381" s="4">
        <v>0</v>
      </c>
      <c r="T381" s="4">
        <v>0</v>
      </c>
      <c r="U381" s="20">
        <f t="shared" si="25"/>
        <v>0</v>
      </c>
      <c r="V381" s="4"/>
      <c r="W381" s="4"/>
    </row>
    <row r="382" spans="7:23" ht="15.75" thickBot="1">
      <c r="G382" s="85">
        <v>1</v>
      </c>
      <c r="H382" s="147" t="s">
        <v>92</v>
      </c>
      <c r="I382" s="84">
        <v>8016</v>
      </c>
      <c r="J382" s="85">
        <v>72</v>
      </c>
      <c r="K382" s="85" t="s">
        <v>220</v>
      </c>
      <c r="L382" s="80" t="s">
        <v>221</v>
      </c>
      <c r="M382" s="80">
        <f>+G382*J382</f>
        <v>72</v>
      </c>
      <c r="O382" s="36">
        <v>12</v>
      </c>
      <c r="P382" s="36">
        <v>6</v>
      </c>
      <c r="Q382" s="77">
        <f>O382*P382</f>
        <v>72</v>
      </c>
      <c r="R382" s="10"/>
      <c r="S382" s="4">
        <v>0</v>
      </c>
      <c r="T382" s="4">
        <v>0</v>
      </c>
      <c r="U382" s="20">
        <f t="shared" si="25"/>
        <v>0</v>
      </c>
      <c r="V382" s="4"/>
      <c r="W382" s="4"/>
    </row>
    <row r="383" spans="7:23">
      <c r="G383" s="738">
        <v>1</v>
      </c>
      <c r="H383" s="740" t="s">
        <v>93</v>
      </c>
      <c r="I383" s="742">
        <v>8024</v>
      </c>
      <c r="J383" s="742" t="s">
        <v>219</v>
      </c>
      <c r="K383" s="742" t="s">
        <v>220</v>
      </c>
      <c r="L383" s="744" t="s">
        <v>221</v>
      </c>
      <c r="M383" s="744">
        <v>264</v>
      </c>
      <c r="O383" s="252">
        <v>12</v>
      </c>
      <c r="P383" s="122">
        <v>5</v>
      </c>
      <c r="Q383" s="253">
        <f t="shared" ref="Q383:Q390" si="26">O383*P383</f>
        <v>60</v>
      </c>
      <c r="R383" s="10"/>
      <c r="S383" s="4">
        <v>0</v>
      </c>
      <c r="T383" s="4">
        <v>0</v>
      </c>
      <c r="U383" s="20">
        <f t="shared" si="25"/>
        <v>0</v>
      </c>
      <c r="V383" s="4"/>
      <c r="W383" s="4"/>
    </row>
    <row r="384" spans="7:23">
      <c r="G384" s="739"/>
      <c r="H384" s="741"/>
      <c r="I384" s="743"/>
      <c r="J384" s="743"/>
      <c r="K384" s="743"/>
      <c r="L384" s="745"/>
      <c r="M384" s="745"/>
      <c r="O384" s="42">
        <v>12</v>
      </c>
      <c r="P384" s="95">
        <v>6</v>
      </c>
      <c r="Q384" s="96">
        <f t="shared" si="26"/>
        <v>72</v>
      </c>
      <c r="S384" s="4">
        <v>0</v>
      </c>
      <c r="T384" s="4">
        <v>0</v>
      </c>
      <c r="U384" s="20">
        <f t="shared" si="25"/>
        <v>0</v>
      </c>
      <c r="V384" s="4"/>
      <c r="W384" s="4"/>
    </row>
    <row r="385" spans="7:23">
      <c r="G385" s="739"/>
      <c r="H385" s="741"/>
      <c r="I385" s="743"/>
      <c r="J385" s="743"/>
      <c r="K385" s="743"/>
      <c r="L385" s="745"/>
      <c r="M385" s="745"/>
      <c r="O385" s="42">
        <v>12</v>
      </c>
      <c r="P385" s="95">
        <v>5</v>
      </c>
      <c r="Q385" s="96">
        <f t="shared" si="26"/>
        <v>60</v>
      </c>
      <c r="S385" s="4">
        <v>0</v>
      </c>
      <c r="T385" s="4">
        <v>0</v>
      </c>
      <c r="U385" s="20">
        <f t="shared" si="25"/>
        <v>0</v>
      </c>
      <c r="V385" s="4"/>
      <c r="W385" s="4"/>
    </row>
    <row r="386" spans="7:23" ht="15.75" thickBot="1">
      <c r="G386" s="779"/>
      <c r="H386" s="735"/>
      <c r="I386" s="733"/>
      <c r="J386" s="733"/>
      <c r="K386" s="733"/>
      <c r="L386" s="737"/>
      <c r="M386" s="737"/>
      <c r="O386" s="42">
        <v>12</v>
      </c>
      <c r="P386" s="95">
        <v>6</v>
      </c>
      <c r="Q386" s="97">
        <f t="shared" si="26"/>
        <v>72</v>
      </c>
      <c r="S386" s="4">
        <v>0</v>
      </c>
      <c r="T386" s="4">
        <v>0</v>
      </c>
      <c r="U386" s="20">
        <f t="shared" si="25"/>
        <v>0</v>
      </c>
      <c r="V386" s="4"/>
      <c r="W386" s="4"/>
    </row>
    <row r="387" spans="7:23">
      <c r="G387" s="720">
        <v>3</v>
      </c>
      <c r="H387" s="710" t="s">
        <v>237</v>
      </c>
      <c r="I387" s="711">
        <v>8013</v>
      </c>
      <c r="J387" s="711" t="s">
        <v>219</v>
      </c>
      <c r="K387" s="711" t="s">
        <v>220</v>
      </c>
      <c r="L387" s="685" t="s">
        <v>221</v>
      </c>
      <c r="M387" s="744">
        <v>264</v>
      </c>
      <c r="O387" s="252">
        <v>12</v>
      </c>
      <c r="P387" s="122">
        <v>5</v>
      </c>
      <c r="Q387" s="253">
        <f t="shared" si="26"/>
        <v>60</v>
      </c>
      <c r="R387" s="10"/>
      <c r="S387" s="4">
        <v>0</v>
      </c>
      <c r="T387" s="4">
        <v>0</v>
      </c>
      <c r="U387" s="20">
        <f t="shared" si="25"/>
        <v>0</v>
      </c>
      <c r="V387" s="4"/>
      <c r="W387" s="4"/>
    </row>
    <row r="388" spans="7:23">
      <c r="G388" s="721"/>
      <c r="H388" s="702"/>
      <c r="I388" s="704"/>
      <c r="J388" s="704"/>
      <c r="K388" s="704"/>
      <c r="L388" s="686"/>
      <c r="M388" s="745"/>
      <c r="O388" s="42">
        <v>12</v>
      </c>
      <c r="P388" s="95">
        <v>6</v>
      </c>
      <c r="Q388" s="96">
        <f t="shared" si="26"/>
        <v>72</v>
      </c>
      <c r="R388" s="10"/>
      <c r="S388" s="4">
        <v>0</v>
      </c>
      <c r="T388" s="4">
        <v>0</v>
      </c>
      <c r="U388" s="20">
        <f t="shared" si="25"/>
        <v>0</v>
      </c>
      <c r="V388" s="4"/>
      <c r="W388" s="4"/>
    </row>
    <row r="389" spans="7:23">
      <c r="G389" s="721"/>
      <c r="H389" s="702"/>
      <c r="I389" s="704"/>
      <c r="J389" s="704"/>
      <c r="K389" s="704"/>
      <c r="L389" s="686"/>
      <c r="M389" s="745"/>
      <c r="O389" s="42">
        <v>12</v>
      </c>
      <c r="P389" s="95">
        <v>5</v>
      </c>
      <c r="Q389" s="96">
        <f t="shared" si="26"/>
        <v>60</v>
      </c>
      <c r="R389" s="10"/>
      <c r="S389" s="4">
        <v>0</v>
      </c>
      <c r="T389" s="4">
        <v>0</v>
      </c>
      <c r="U389" s="20">
        <f t="shared" si="25"/>
        <v>0</v>
      </c>
      <c r="V389" s="4"/>
      <c r="W389" s="4"/>
    </row>
    <row r="390" spans="7:23" ht="15.75" thickBot="1">
      <c r="G390" s="722"/>
      <c r="H390" s="703"/>
      <c r="I390" s="705"/>
      <c r="J390" s="705"/>
      <c r="K390" s="705"/>
      <c r="L390" s="687"/>
      <c r="M390" s="737"/>
      <c r="O390" s="13">
        <v>12</v>
      </c>
      <c r="P390" s="99">
        <v>6</v>
      </c>
      <c r="Q390" s="78">
        <f t="shared" si="26"/>
        <v>72</v>
      </c>
      <c r="R390" s="10"/>
      <c r="S390" s="4">
        <v>0</v>
      </c>
      <c r="T390" s="4">
        <v>0</v>
      </c>
      <c r="U390" s="20">
        <f t="shared" si="25"/>
        <v>0</v>
      </c>
      <c r="V390" s="4"/>
      <c r="W390" s="4"/>
    </row>
    <row r="391" spans="7:23">
      <c r="G391" s="34">
        <v>2</v>
      </c>
      <c r="H391" s="153" t="s">
        <v>95</v>
      </c>
      <c r="I391" s="72">
        <v>8015</v>
      </c>
      <c r="J391" s="34">
        <v>60</v>
      </c>
      <c r="K391" s="43" t="s">
        <v>220</v>
      </c>
      <c r="L391" s="24" t="s">
        <v>221</v>
      </c>
      <c r="M391" s="42">
        <v>60</v>
      </c>
      <c r="O391" s="7">
        <v>12</v>
      </c>
      <c r="P391" s="7">
        <v>5</v>
      </c>
      <c r="Q391" s="79">
        <f>O391*P391</f>
        <v>60</v>
      </c>
      <c r="R391" s="10"/>
      <c r="S391" s="4">
        <v>0</v>
      </c>
      <c r="T391" s="4">
        <v>0</v>
      </c>
      <c r="U391" s="20">
        <f t="shared" si="25"/>
        <v>0</v>
      </c>
      <c r="V391" s="4"/>
      <c r="W391" s="4"/>
    </row>
    <row r="392" spans="7:23" ht="15.75" thickBot="1">
      <c r="G392" s="296">
        <v>1</v>
      </c>
      <c r="H392" s="154" t="s">
        <v>95</v>
      </c>
      <c r="I392" s="83">
        <v>8015</v>
      </c>
      <c r="J392" s="296">
        <v>48</v>
      </c>
      <c r="K392" s="85" t="s">
        <v>220</v>
      </c>
      <c r="L392" s="42" t="s">
        <v>221</v>
      </c>
      <c r="M392" s="42">
        <v>48</v>
      </c>
      <c r="O392" s="36">
        <v>12</v>
      </c>
      <c r="P392" s="36">
        <v>4</v>
      </c>
      <c r="Q392" s="77">
        <f>O392*P392</f>
        <v>48</v>
      </c>
      <c r="R392" s="10"/>
      <c r="S392" s="4">
        <v>0</v>
      </c>
      <c r="T392" s="4">
        <v>0</v>
      </c>
      <c r="U392" s="20">
        <f t="shared" si="25"/>
        <v>0</v>
      </c>
      <c r="V392" s="4"/>
      <c r="W392" s="4"/>
    </row>
    <row r="393" spans="7:23">
      <c r="G393" s="720">
        <v>1</v>
      </c>
      <c r="H393" s="751" t="s">
        <v>96</v>
      </c>
      <c r="I393" s="221">
        <v>8015</v>
      </c>
      <c r="J393" s="711">
        <v>65.5</v>
      </c>
      <c r="K393" s="711" t="s">
        <v>220</v>
      </c>
      <c r="L393" s="685" t="s">
        <v>221</v>
      </c>
      <c r="M393" s="685">
        <f>+J393</f>
        <v>65.5</v>
      </c>
      <c r="O393" s="252">
        <v>12</v>
      </c>
      <c r="P393" s="252">
        <v>5</v>
      </c>
      <c r="Q393" s="302">
        <f>O393*P393</f>
        <v>60</v>
      </c>
      <c r="R393" s="10"/>
      <c r="S393" s="4">
        <v>0</v>
      </c>
      <c r="T393" s="4">
        <v>0</v>
      </c>
      <c r="U393" s="20">
        <f t="shared" si="25"/>
        <v>0</v>
      </c>
      <c r="V393" s="4"/>
      <c r="W393" s="4"/>
    </row>
    <row r="394" spans="7:23" ht="15.75" thickBot="1">
      <c r="G394" s="722"/>
      <c r="H394" s="752"/>
      <c r="I394" s="62"/>
      <c r="J394" s="705"/>
      <c r="K394" s="705"/>
      <c r="L394" s="687"/>
      <c r="M394" s="687"/>
      <c r="O394" s="5">
        <v>5.5</v>
      </c>
      <c r="P394" s="5">
        <v>1</v>
      </c>
      <c r="Q394" s="78">
        <f>O394*P394</f>
        <v>5.5</v>
      </c>
      <c r="R394" s="10"/>
      <c r="S394" s="4">
        <v>0</v>
      </c>
      <c r="T394" s="4">
        <v>0</v>
      </c>
      <c r="U394" s="20">
        <f t="shared" si="25"/>
        <v>0</v>
      </c>
      <c r="V394" s="4"/>
      <c r="W394" s="4"/>
    </row>
    <row r="395" spans="7:23">
      <c r="G395" s="226">
        <v>2</v>
      </c>
      <c r="H395" s="710" t="s">
        <v>228</v>
      </c>
      <c r="I395" s="711">
        <v>8015</v>
      </c>
      <c r="J395" s="190">
        <v>60</v>
      </c>
      <c r="K395" s="711" t="s">
        <v>220</v>
      </c>
      <c r="L395" s="685" t="s">
        <v>221</v>
      </c>
      <c r="M395" s="685">
        <v>264</v>
      </c>
      <c r="O395" s="252">
        <v>12</v>
      </c>
      <c r="P395" s="124">
        <v>5</v>
      </c>
      <c r="Q395" s="253">
        <f t="shared" ref="Q395:Q420" si="27">O395*P395</f>
        <v>60</v>
      </c>
      <c r="R395" s="10"/>
      <c r="S395" s="4">
        <v>0</v>
      </c>
      <c r="T395" s="4">
        <v>0</v>
      </c>
      <c r="U395" s="20">
        <f t="shared" si="25"/>
        <v>0</v>
      </c>
      <c r="V395" s="4"/>
      <c r="W395" s="4"/>
    </row>
    <row r="396" spans="7:23" ht="15.75" thickBot="1">
      <c r="G396" s="32">
        <v>1</v>
      </c>
      <c r="H396" s="703"/>
      <c r="I396" s="705"/>
      <c r="J396" s="33">
        <v>48</v>
      </c>
      <c r="K396" s="705"/>
      <c r="L396" s="687"/>
      <c r="M396" s="687"/>
      <c r="O396" s="42">
        <v>12</v>
      </c>
      <c r="P396" s="95">
        <v>4</v>
      </c>
      <c r="Q396" s="96">
        <f t="shared" si="27"/>
        <v>48</v>
      </c>
      <c r="S396" s="4">
        <v>0</v>
      </c>
      <c r="T396" s="4">
        <v>0</v>
      </c>
      <c r="U396" s="20">
        <f t="shared" si="25"/>
        <v>0</v>
      </c>
      <c r="V396" s="4"/>
      <c r="W396" s="4"/>
    </row>
    <row r="397" spans="7:23" ht="15.75" thickBot="1">
      <c r="G397" s="226">
        <v>2</v>
      </c>
      <c r="H397" s="787" t="s">
        <v>229</v>
      </c>
      <c r="I397" s="789">
        <v>8015</v>
      </c>
      <c r="J397" s="190">
        <v>60</v>
      </c>
      <c r="K397" s="190" t="s">
        <v>220</v>
      </c>
      <c r="L397" s="192" t="s">
        <v>221</v>
      </c>
      <c r="M397" s="192">
        <v>264</v>
      </c>
      <c r="O397" s="252">
        <v>12</v>
      </c>
      <c r="P397" s="124">
        <v>5</v>
      </c>
      <c r="Q397" s="302">
        <f t="shared" si="27"/>
        <v>60</v>
      </c>
      <c r="S397" s="4">
        <v>0</v>
      </c>
      <c r="T397" s="4">
        <v>0</v>
      </c>
      <c r="U397" s="20">
        <f t="shared" si="25"/>
        <v>0</v>
      </c>
      <c r="V397" s="4"/>
      <c r="W397" s="4"/>
    </row>
    <row r="398" spans="7:23">
      <c r="G398" s="765">
        <v>1</v>
      </c>
      <c r="H398" s="769"/>
      <c r="I398" s="772"/>
      <c r="J398" s="771">
        <v>58</v>
      </c>
      <c r="K398" s="771" t="s">
        <v>220</v>
      </c>
      <c r="L398" s="774" t="s">
        <v>221</v>
      </c>
      <c r="M398" s="774">
        <f>+G398*J398</f>
        <v>58</v>
      </c>
      <c r="O398" s="240">
        <v>10</v>
      </c>
      <c r="P398" s="311">
        <v>1</v>
      </c>
      <c r="Q398" s="253">
        <f t="shared" si="27"/>
        <v>10</v>
      </c>
      <c r="S398" s="4"/>
      <c r="T398" s="4"/>
      <c r="U398" s="20"/>
      <c r="V398" s="4"/>
      <c r="W398" s="4"/>
    </row>
    <row r="399" spans="7:23" ht="15.75" thickBot="1">
      <c r="G399" s="791"/>
      <c r="H399" s="788"/>
      <c r="I399" s="790"/>
      <c r="J399" s="790"/>
      <c r="K399" s="790"/>
      <c r="L399" s="778"/>
      <c r="M399" s="778"/>
      <c r="O399" s="61">
        <v>12</v>
      </c>
      <c r="P399" s="312">
        <v>4</v>
      </c>
      <c r="Q399" s="81">
        <f t="shared" si="27"/>
        <v>48</v>
      </c>
      <c r="S399" s="4">
        <v>0</v>
      </c>
      <c r="T399" s="4">
        <v>0</v>
      </c>
      <c r="U399" s="20">
        <f t="shared" si="25"/>
        <v>0</v>
      </c>
      <c r="V399" s="4"/>
      <c r="W399" s="4"/>
    </row>
    <row r="400" spans="7:23">
      <c r="G400" s="226">
        <v>2</v>
      </c>
      <c r="H400" s="710" t="s">
        <v>386</v>
      </c>
      <c r="I400" s="711">
        <v>8015</v>
      </c>
      <c r="J400" s="190">
        <v>60</v>
      </c>
      <c r="K400" s="711" t="s">
        <v>220</v>
      </c>
      <c r="L400" s="685" t="s">
        <v>221</v>
      </c>
      <c r="M400" s="685">
        <v>264</v>
      </c>
      <c r="O400" s="252">
        <v>12</v>
      </c>
      <c r="P400" s="124">
        <v>5</v>
      </c>
      <c r="Q400" s="253">
        <f t="shared" si="27"/>
        <v>60</v>
      </c>
      <c r="R400" s="10"/>
      <c r="S400" s="4">
        <v>0</v>
      </c>
      <c r="T400" s="4">
        <v>0</v>
      </c>
      <c r="U400" s="20">
        <f t="shared" si="25"/>
        <v>0</v>
      </c>
      <c r="V400" s="4"/>
      <c r="W400" s="4"/>
    </row>
    <row r="401" spans="7:23" ht="15.75" thickBot="1">
      <c r="G401" s="32">
        <v>1</v>
      </c>
      <c r="H401" s="703"/>
      <c r="I401" s="705"/>
      <c r="J401" s="33">
        <v>48</v>
      </c>
      <c r="K401" s="705"/>
      <c r="L401" s="687"/>
      <c r="M401" s="687"/>
      <c r="O401" s="42">
        <v>12</v>
      </c>
      <c r="P401" s="95">
        <v>4</v>
      </c>
      <c r="Q401" s="96">
        <f t="shared" si="27"/>
        <v>48</v>
      </c>
      <c r="S401" s="4">
        <v>0</v>
      </c>
      <c r="T401" s="4">
        <v>0</v>
      </c>
      <c r="U401" s="20">
        <f t="shared" si="25"/>
        <v>0</v>
      </c>
      <c r="V401" s="4"/>
      <c r="W401" s="4"/>
    </row>
    <row r="402" spans="7:23">
      <c r="G402" s="716">
        <v>5</v>
      </c>
      <c r="H402" s="685" t="s">
        <v>308</v>
      </c>
      <c r="I402" s="749" t="s">
        <v>347</v>
      </c>
      <c r="J402" s="712" t="s">
        <v>219</v>
      </c>
      <c r="K402" s="712" t="s">
        <v>348</v>
      </c>
      <c r="L402" s="685" t="s">
        <v>221</v>
      </c>
      <c r="M402" s="781">
        <v>264</v>
      </c>
      <c r="O402" s="252">
        <v>12</v>
      </c>
      <c r="P402" s="122">
        <v>5</v>
      </c>
      <c r="Q402" s="253">
        <f t="shared" si="27"/>
        <v>60</v>
      </c>
      <c r="S402" s="4">
        <v>0</v>
      </c>
      <c r="T402" s="4">
        <v>0</v>
      </c>
      <c r="U402" s="20">
        <f t="shared" si="25"/>
        <v>0</v>
      </c>
      <c r="V402" s="4"/>
      <c r="W402" s="4"/>
    </row>
    <row r="403" spans="7:23">
      <c r="G403" s="717"/>
      <c r="H403" s="686"/>
      <c r="I403" s="784"/>
      <c r="J403" s="693"/>
      <c r="K403" s="693"/>
      <c r="L403" s="686"/>
      <c r="M403" s="782"/>
      <c r="O403" s="42">
        <v>12</v>
      </c>
      <c r="P403" s="95">
        <v>6</v>
      </c>
      <c r="Q403" s="96">
        <f t="shared" si="27"/>
        <v>72</v>
      </c>
      <c r="S403" s="4">
        <v>0</v>
      </c>
      <c r="T403" s="4">
        <v>0</v>
      </c>
      <c r="U403" s="20">
        <f t="shared" si="25"/>
        <v>0</v>
      </c>
      <c r="V403" s="4"/>
      <c r="W403" s="4"/>
    </row>
    <row r="404" spans="7:23">
      <c r="G404" s="717"/>
      <c r="H404" s="686"/>
      <c r="I404" s="784"/>
      <c r="J404" s="693"/>
      <c r="K404" s="693"/>
      <c r="L404" s="686"/>
      <c r="M404" s="782"/>
      <c r="O404" s="42">
        <v>12</v>
      </c>
      <c r="P404" s="95">
        <v>5</v>
      </c>
      <c r="Q404" s="96">
        <f t="shared" si="27"/>
        <v>60</v>
      </c>
      <c r="S404" s="4">
        <v>0</v>
      </c>
      <c r="T404" s="4">
        <v>0</v>
      </c>
      <c r="U404" s="20">
        <f t="shared" si="25"/>
        <v>0</v>
      </c>
      <c r="V404" s="4"/>
      <c r="W404" s="4"/>
    </row>
    <row r="405" spans="7:23" ht="15.75" thickBot="1">
      <c r="G405" s="780"/>
      <c r="H405" s="687"/>
      <c r="I405" s="750"/>
      <c r="J405" s="706"/>
      <c r="K405" s="706"/>
      <c r="L405" s="687"/>
      <c r="M405" s="783"/>
      <c r="O405" s="13">
        <v>12</v>
      </c>
      <c r="P405" s="99">
        <v>6</v>
      </c>
      <c r="Q405" s="78">
        <f t="shared" si="27"/>
        <v>72</v>
      </c>
      <c r="S405" s="4">
        <v>0</v>
      </c>
      <c r="T405" s="4">
        <v>0</v>
      </c>
      <c r="U405" s="20">
        <f t="shared" si="25"/>
        <v>0</v>
      </c>
      <c r="V405" s="4"/>
      <c r="W405" s="4"/>
    </row>
    <row r="406" spans="7:23">
      <c r="G406" s="720">
        <v>1</v>
      </c>
      <c r="H406" s="685" t="s">
        <v>308</v>
      </c>
      <c r="I406" s="749" t="s">
        <v>347</v>
      </c>
      <c r="J406" s="711">
        <v>57</v>
      </c>
      <c r="K406" s="712" t="s">
        <v>348</v>
      </c>
      <c r="L406" s="685" t="s">
        <v>221</v>
      </c>
      <c r="M406" s="685">
        <f>+G406*J406</f>
        <v>57</v>
      </c>
      <c r="O406" s="269">
        <v>10</v>
      </c>
      <c r="P406" s="269">
        <v>5</v>
      </c>
      <c r="Q406" s="253">
        <f t="shared" si="27"/>
        <v>50</v>
      </c>
      <c r="S406" s="4">
        <v>0</v>
      </c>
      <c r="T406" s="4">
        <v>0</v>
      </c>
      <c r="U406" s="20">
        <f t="shared" si="25"/>
        <v>0</v>
      </c>
      <c r="V406" s="4"/>
      <c r="W406" s="4"/>
    </row>
    <row r="407" spans="7:23" ht="15.75" thickBot="1">
      <c r="G407" s="722"/>
      <c r="H407" s="687"/>
      <c r="I407" s="750"/>
      <c r="J407" s="705"/>
      <c r="K407" s="706"/>
      <c r="L407" s="687"/>
      <c r="M407" s="687"/>
      <c r="O407" s="101">
        <v>7</v>
      </c>
      <c r="P407" s="101">
        <v>1</v>
      </c>
      <c r="Q407" s="78">
        <f t="shared" si="27"/>
        <v>7</v>
      </c>
      <c r="S407" s="4">
        <v>0</v>
      </c>
      <c r="T407" s="4">
        <v>0</v>
      </c>
      <c r="U407" s="20">
        <f t="shared" si="25"/>
        <v>0</v>
      </c>
      <c r="V407" s="4"/>
      <c r="W407" s="4"/>
    </row>
    <row r="408" spans="7:23">
      <c r="G408" s="720">
        <v>1</v>
      </c>
      <c r="H408" s="685" t="s">
        <v>349</v>
      </c>
      <c r="I408" s="749" t="s">
        <v>350</v>
      </c>
      <c r="J408" s="711">
        <v>58</v>
      </c>
      <c r="K408" s="712" t="s">
        <v>348</v>
      </c>
      <c r="L408" s="685" t="s">
        <v>221</v>
      </c>
      <c r="M408" s="685">
        <f>+G408*J408</f>
        <v>58</v>
      </c>
      <c r="O408" s="269">
        <v>10</v>
      </c>
      <c r="P408" s="269">
        <v>5</v>
      </c>
      <c r="Q408" s="253">
        <f t="shared" si="27"/>
        <v>50</v>
      </c>
      <c r="S408" s="4">
        <v>0</v>
      </c>
      <c r="T408" s="4">
        <v>0</v>
      </c>
      <c r="U408" s="20">
        <f t="shared" si="25"/>
        <v>0</v>
      </c>
      <c r="V408" s="4"/>
      <c r="W408" s="4"/>
    </row>
    <row r="409" spans="7:23" ht="15.75" thickBot="1">
      <c r="G409" s="722"/>
      <c r="H409" s="687"/>
      <c r="I409" s="750"/>
      <c r="J409" s="705"/>
      <c r="K409" s="706"/>
      <c r="L409" s="687"/>
      <c r="M409" s="687"/>
      <c r="O409" s="158">
        <v>8</v>
      </c>
      <c r="P409" s="158">
        <v>1</v>
      </c>
      <c r="Q409" s="81">
        <f t="shared" si="27"/>
        <v>8</v>
      </c>
      <c r="S409" s="4">
        <v>0</v>
      </c>
      <c r="T409" s="4">
        <v>0</v>
      </c>
      <c r="U409" s="20">
        <f t="shared" si="25"/>
        <v>0</v>
      </c>
      <c r="V409" s="4"/>
      <c r="W409" s="4"/>
    </row>
    <row r="410" spans="7:23">
      <c r="G410" s="720">
        <v>1</v>
      </c>
      <c r="H410" s="685" t="s">
        <v>351</v>
      </c>
      <c r="I410" s="749" t="s">
        <v>352</v>
      </c>
      <c r="J410" s="711">
        <v>68</v>
      </c>
      <c r="K410" s="711" t="s">
        <v>348</v>
      </c>
      <c r="L410" s="685" t="s">
        <v>221</v>
      </c>
      <c r="M410" s="685">
        <f>+G410*J410</f>
        <v>68</v>
      </c>
      <c r="O410" s="269">
        <v>11.5</v>
      </c>
      <c r="P410" s="269">
        <v>5</v>
      </c>
      <c r="Q410" s="253">
        <f t="shared" si="27"/>
        <v>57.5</v>
      </c>
      <c r="S410" s="4">
        <v>0</v>
      </c>
      <c r="T410" s="4">
        <v>0</v>
      </c>
      <c r="U410" s="20">
        <f t="shared" si="25"/>
        <v>0</v>
      </c>
      <c r="V410" s="4"/>
      <c r="W410" s="4"/>
    </row>
    <row r="411" spans="7:23" ht="15.75" thickBot="1">
      <c r="G411" s="722"/>
      <c r="H411" s="687"/>
      <c r="I411" s="750"/>
      <c r="J411" s="705"/>
      <c r="K411" s="705"/>
      <c r="L411" s="687"/>
      <c r="M411" s="687"/>
      <c r="O411" s="158">
        <v>10.5</v>
      </c>
      <c r="P411" s="158">
        <v>1</v>
      </c>
      <c r="Q411" s="81">
        <f t="shared" si="27"/>
        <v>10.5</v>
      </c>
      <c r="S411" s="4">
        <v>0</v>
      </c>
      <c r="T411" s="4">
        <v>0</v>
      </c>
      <c r="U411" s="20">
        <f t="shared" si="25"/>
        <v>0</v>
      </c>
      <c r="V411" s="4"/>
      <c r="W411" s="4"/>
    </row>
    <row r="412" spans="7:23" ht="15.75" thickBot="1">
      <c r="G412" s="84">
        <v>1</v>
      </c>
      <c r="H412" s="173" t="s">
        <v>353</v>
      </c>
      <c r="I412" s="159" t="s">
        <v>354</v>
      </c>
      <c r="J412" s="84">
        <v>62.5</v>
      </c>
      <c r="K412" s="84" t="s">
        <v>348</v>
      </c>
      <c r="L412" s="44" t="s">
        <v>221</v>
      </c>
      <c r="M412" s="156">
        <f>+G412*J412</f>
        <v>62.5</v>
      </c>
      <c r="O412" s="157">
        <v>12.5</v>
      </c>
      <c r="P412" s="157">
        <v>5</v>
      </c>
      <c r="Q412" s="157">
        <f t="shared" si="27"/>
        <v>62.5</v>
      </c>
      <c r="S412" s="4">
        <v>0</v>
      </c>
      <c r="T412" s="4">
        <v>0</v>
      </c>
      <c r="U412" s="20">
        <f t="shared" si="25"/>
        <v>0</v>
      </c>
      <c r="V412" s="4"/>
      <c r="W412" s="4"/>
    </row>
    <row r="413" spans="7:23">
      <c r="G413" s="720">
        <v>1</v>
      </c>
      <c r="H413" s="685" t="s">
        <v>355</v>
      </c>
      <c r="I413" s="749" t="s">
        <v>356</v>
      </c>
      <c r="J413" s="711">
        <v>61</v>
      </c>
      <c r="K413" s="711" t="s">
        <v>348</v>
      </c>
      <c r="L413" s="685" t="s">
        <v>221</v>
      </c>
      <c r="M413" s="685">
        <f>+G413*J413</f>
        <v>61</v>
      </c>
      <c r="O413" s="269">
        <v>10.5</v>
      </c>
      <c r="P413" s="269">
        <v>5</v>
      </c>
      <c r="Q413" s="253">
        <f t="shared" si="27"/>
        <v>52.5</v>
      </c>
      <c r="S413" s="4">
        <v>0</v>
      </c>
      <c r="T413" s="4">
        <v>0</v>
      </c>
      <c r="U413" s="20">
        <f t="shared" si="25"/>
        <v>0</v>
      </c>
      <c r="V413" s="4"/>
      <c r="W413" s="4"/>
    </row>
    <row r="414" spans="7:23" ht="15.75" thickBot="1">
      <c r="G414" s="721"/>
      <c r="H414" s="686"/>
      <c r="I414" s="784"/>
      <c r="J414" s="704"/>
      <c r="K414" s="704"/>
      <c r="L414" s="686"/>
      <c r="M414" s="687"/>
      <c r="O414" s="157">
        <v>8.5</v>
      </c>
      <c r="P414" s="157">
        <v>1</v>
      </c>
      <c r="Q414" s="102">
        <f t="shared" si="27"/>
        <v>8.5</v>
      </c>
      <c r="S414" s="4">
        <v>0</v>
      </c>
      <c r="T414" s="4">
        <v>0</v>
      </c>
      <c r="U414" s="20">
        <f t="shared" si="25"/>
        <v>0</v>
      </c>
      <c r="V414" s="4"/>
      <c r="W414" s="4"/>
    </row>
    <row r="415" spans="7:23">
      <c r="G415" s="716">
        <v>1</v>
      </c>
      <c r="H415" s="685" t="s">
        <v>357</v>
      </c>
      <c r="I415" s="749" t="s">
        <v>358</v>
      </c>
      <c r="J415" s="712">
        <v>61</v>
      </c>
      <c r="K415" s="711" t="s">
        <v>348</v>
      </c>
      <c r="L415" s="685" t="s">
        <v>221</v>
      </c>
      <c r="M415" s="685">
        <f>+G415*J415</f>
        <v>61</v>
      </c>
      <c r="O415" s="269">
        <v>10.5</v>
      </c>
      <c r="P415" s="269">
        <v>5</v>
      </c>
      <c r="Q415" s="253">
        <f t="shared" si="27"/>
        <v>52.5</v>
      </c>
      <c r="S415" s="4">
        <v>0</v>
      </c>
      <c r="T415" s="4">
        <v>0</v>
      </c>
      <c r="U415" s="20">
        <f t="shared" si="25"/>
        <v>0</v>
      </c>
      <c r="V415" s="4"/>
      <c r="W415" s="4"/>
    </row>
    <row r="416" spans="7:23" ht="15.75" thickBot="1">
      <c r="G416" s="780"/>
      <c r="H416" s="687"/>
      <c r="I416" s="750"/>
      <c r="J416" s="706"/>
      <c r="K416" s="705"/>
      <c r="L416" s="687"/>
      <c r="M416" s="687"/>
      <c r="O416" s="158">
        <v>8.5</v>
      </c>
      <c r="P416" s="158">
        <v>1</v>
      </c>
      <c r="Q416" s="81">
        <f t="shared" si="27"/>
        <v>8.5</v>
      </c>
      <c r="S416" s="4">
        <v>0</v>
      </c>
      <c r="T416" s="4">
        <v>0</v>
      </c>
      <c r="U416" s="20">
        <f t="shared" si="25"/>
        <v>0</v>
      </c>
      <c r="V416" s="4"/>
      <c r="W416" s="4"/>
    </row>
    <row r="417" spans="7:23">
      <c r="G417" s="720">
        <v>1</v>
      </c>
      <c r="H417" s="785" t="s">
        <v>359</v>
      </c>
      <c r="I417" s="749" t="s">
        <v>360</v>
      </c>
      <c r="J417" s="711">
        <v>61.5</v>
      </c>
      <c r="K417" s="711" t="s">
        <v>348</v>
      </c>
      <c r="L417" s="685" t="s">
        <v>221</v>
      </c>
      <c r="M417" s="685">
        <f>+G417*J417</f>
        <v>61.5</v>
      </c>
      <c r="O417" s="269">
        <v>12.5</v>
      </c>
      <c r="P417" s="269">
        <v>4</v>
      </c>
      <c r="Q417" s="253">
        <f t="shared" si="27"/>
        <v>50</v>
      </c>
      <c r="S417" s="4">
        <v>0</v>
      </c>
      <c r="T417" s="4">
        <v>0</v>
      </c>
      <c r="U417" s="20">
        <f t="shared" si="25"/>
        <v>0</v>
      </c>
      <c r="V417" s="4"/>
      <c r="W417" s="4"/>
    </row>
    <row r="418" spans="7:23" ht="15.75" thickBot="1">
      <c r="G418" s="722"/>
      <c r="H418" s="786"/>
      <c r="I418" s="750"/>
      <c r="J418" s="705"/>
      <c r="K418" s="705"/>
      <c r="L418" s="687"/>
      <c r="M418" s="687"/>
      <c r="O418" s="158">
        <v>11.5</v>
      </c>
      <c r="P418" s="158">
        <v>1</v>
      </c>
      <c r="Q418" s="81">
        <f t="shared" si="27"/>
        <v>11.5</v>
      </c>
      <c r="S418" s="4">
        <v>0</v>
      </c>
      <c r="T418" s="4">
        <v>0</v>
      </c>
      <c r="U418" s="20">
        <f t="shared" si="25"/>
        <v>0</v>
      </c>
      <c r="V418" s="4"/>
      <c r="W418" s="4"/>
    </row>
    <row r="419" spans="7:23">
      <c r="G419" s="86">
        <v>1</v>
      </c>
      <c r="H419" s="31" t="s">
        <v>339</v>
      </c>
      <c r="I419" s="160" t="s">
        <v>361</v>
      </c>
      <c r="J419" s="304">
        <v>60</v>
      </c>
      <c r="K419" s="146" t="s">
        <v>348</v>
      </c>
      <c r="L419" s="7" t="s">
        <v>221</v>
      </c>
      <c r="M419" s="156">
        <f>+G419*J419</f>
        <v>60</v>
      </c>
      <c r="O419" s="79">
        <v>12</v>
      </c>
      <c r="P419" s="79">
        <v>5</v>
      </c>
      <c r="Q419" s="79">
        <f t="shared" si="27"/>
        <v>60</v>
      </c>
      <c r="S419" s="4">
        <v>0</v>
      </c>
      <c r="T419" s="4">
        <v>0</v>
      </c>
      <c r="U419" s="20">
        <f t="shared" si="25"/>
        <v>0</v>
      </c>
      <c r="V419" s="4"/>
      <c r="W419" s="4"/>
    </row>
    <row r="420" spans="7:23">
      <c r="G420" s="86">
        <v>1</v>
      </c>
      <c r="H420" s="31" t="s">
        <v>339</v>
      </c>
      <c r="I420" s="160" t="s">
        <v>361</v>
      </c>
      <c r="J420" s="304">
        <v>24</v>
      </c>
      <c r="K420" s="146" t="s">
        <v>348</v>
      </c>
      <c r="L420" s="7" t="s">
        <v>362</v>
      </c>
      <c r="M420" s="161">
        <f>+G420*J420</f>
        <v>24</v>
      </c>
      <c r="O420" s="79">
        <v>12</v>
      </c>
      <c r="P420" s="79">
        <v>2</v>
      </c>
      <c r="Q420" s="79">
        <f t="shared" si="27"/>
        <v>24</v>
      </c>
      <c r="S420" s="4">
        <v>0</v>
      </c>
      <c r="T420" s="4">
        <v>0</v>
      </c>
      <c r="U420" s="20">
        <f t="shared" si="25"/>
        <v>0</v>
      </c>
      <c r="V420" s="4"/>
      <c r="W420" s="4"/>
    </row>
    <row r="421" spans="7:23">
      <c r="G421" s="162">
        <f>SUM(G290:G420)</f>
        <v>174</v>
      </c>
      <c r="J421" s="163"/>
      <c r="M421" s="163"/>
      <c r="U421" s="164">
        <f>SUM(U290:U420)</f>
        <v>12</v>
      </c>
    </row>
    <row r="424" spans="7:23">
      <c r="G424" s="74" t="s">
        <v>101</v>
      </c>
      <c r="H424" s="681" t="s">
        <v>720</v>
      </c>
      <c r="I424" s="682"/>
      <c r="J424" s="682"/>
      <c r="K424" s="682"/>
      <c r="L424" s="682"/>
      <c r="M424" s="683"/>
      <c r="O424" s="684" t="s">
        <v>207</v>
      </c>
      <c r="P424" s="684"/>
      <c r="Q424" s="684"/>
      <c r="R424" s="74"/>
      <c r="S424" s="684" t="s">
        <v>208</v>
      </c>
      <c r="T424" s="684"/>
      <c r="U424" s="684"/>
      <c r="V424" s="684"/>
      <c r="W424" s="684"/>
    </row>
    <row r="425" spans="7:23" ht="60.75" thickBot="1">
      <c r="G425" s="91" t="s">
        <v>209</v>
      </c>
      <c r="H425" s="91" t="s">
        <v>210</v>
      </c>
      <c r="I425" s="91" t="s">
        <v>53</v>
      </c>
      <c r="J425" s="92" t="s">
        <v>211</v>
      </c>
      <c r="K425" s="92" t="s">
        <v>212</v>
      </c>
      <c r="L425" s="92" t="s">
        <v>213</v>
      </c>
      <c r="M425" s="92" t="s">
        <v>224</v>
      </c>
      <c r="O425" s="103" t="s">
        <v>214</v>
      </c>
      <c r="P425" s="93" t="s">
        <v>215</v>
      </c>
      <c r="Q425" s="94" t="s">
        <v>216</v>
      </c>
      <c r="S425" s="75" t="s">
        <v>214</v>
      </c>
      <c r="T425" s="75" t="s">
        <v>215</v>
      </c>
      <c r="U425" s="76" t="s">
        <v>216</v>
      </c>
      <c r="V425" s="76" t="s">
        <v>217</v>
      </c>
      <c r="W425" s="76" t="s">
        <v>218</v>
      </c>
    </row>
    <row r="426" spans="7:23">
      <c r="G426" s="716">
        <v>1</v>
      </c>
      <c r="H426" s="710" t="s">
        <v>344</v>
      </c>
      <c r="I426" s="718">
        <v>8017</v>
      </c>
      <c r="J426" s="712" t="s">
        <v>219</v>
      </c>
      <c r="K426" s="712" t="s">
        <v>220</v>
      </c>
      <c r="L426" s="685" t="s">
        <v>221</v>
      </c>
      <c r="M426" s="685">
        <f>+Q426+Q427+Q428+Q429*G426</f>
        <v>264</v>
      </c>
      <c r="O426" s="252">
        <v>12</v>
      </c>
      <c r="P426" s="122">
        <v>5</v>
      </c>
      <c r="Q426" s="253">
        <f t="shared" ref="Q426:Q489" si="28">O426*P426</f>
        <v>60</v>
      </c>
      <c r="R426" s="10"/>
      <c r="S426" s="4">
        <v>0</v>
      </c>
      <c r="T426" s="4">
        <v>0</v>
      </c>
      <c r="U426" s="20">
        <f t="shared" ref="U426:U430" si="29">S426*T426</f>
        <v>0</v>
      </c>
      <c r="V426" s="4"/>
      <c r="W426" s="4"/>
    </row>
    <row r="427" spans="7:23">
      <c r="G427" s="717"/>
      <c r="H427" s="702"/>
      <c r="I427" s="719"/>
      <c r="J427" s="693"/>
      <c r="K427" s="693"/>
      <c r="L427" s="686"/>
      <c r="M427" s="686"/>
      <c r="O427" s="42">
        <v>12</v>
      </c>
      <c r="P427" s="95">
        <v>6</v>
      </c>
      <c r="Q427" s="96">
        <f t="shared" si="28"/>
        <v>72</v>
      </c>
      <c r="R427" s="10"/>
      <c r="S427" s="4">
        <v>0</v>
      </c>
      <c r="T427" s="4">
        <v>0</v>
      </c>
      <c r="U427" s="20">
        <f t="shared" si="29"/>
        <v>0</v>
      </c>
      <c r="V427" s="4"/>
      <c r="W427" s="4"/>
    </row>
    <row r="428" spans="7:23">
      <c r="G428" s="717"/>
      <c r="H428" s="702"/>
      <c r="I428" s="719"/>
      <c r="J428" s="693"/>
      <c r="K428" s="693"/>
      <c r="L428" s="686"/>
      <c r="M428" s="686"/>
      <c r="O428" s="42">
        <v>12</v>
      </c>
      <c r="P428" s="95">
        <v>5</v>
      </c>
      <c r="Q428" s="96">
        <f t="shared" si="28"/>
        <v>60</v>
      </c>
      <c r="R428" s="10"/>
      <c r="S428" s="4">
        <v>0</v>
      </c>
      <c r="T428" s="4">
        <v>0</v>
      </c>
      <c r="U428" s="20">
        <f t="shared" si="29"/>
        <v>0</v>
      </c>
      <c r="V428" s="4"/>
      <c r="W428" s="4"/>
    </row>
    <row r="429" spans="7:23" ht="15.75" thickBot="1">
      <c r="G429" s="717"/>
      <c r="H429" s="702"/>
      <c r="I429" s="719"/>
      <c r="J429" s="693"/>
      <c r="K429" s="693"/>
      <c r="L429" s="686"/>
      <c r="M429" s="687"/>
      <c r="O429" s="42">
        <v>12</v>
      </c>
      <c r="P429" s="95">
        <v>6</v>
      </c>
      <c r="Q429" s="97">
        <f t="shared" si="28"/>
        <v>72</v>
      </c>
      <c r="R429" s="10"/>
      <c r="S429" s="4">
        <v>0</v>
      </c>
      <c r="T429" s="4">
        <v>0</v>
      </c>
      <c r="U429" s="20">
        <f t="shared" si="29"/>
        <v>0</v>
      </c>
      <c r="V429" s="4"/>
      <c r="W429" s="4"/>
    </row>
    <row r="430" spans="7:23">
      <c r="G430" s="792">
        <v>1</v>
      </c>
      <c r="H430" s="787" t="s">
        <v>391</v>
      </c>
      <c r="I430" s="789">
        <v>8020</v>
      </c>
      <c r="J430" s="793">
        <v>48</v>
      </c>
      <c r="K430" s="793" t="s">
        <v>220</v>
      </c>
      <c r="L430" s="777" t="s">
        <v>221</v>
      </c>
      <c r="M430" s="777">
        <f>+G430*J430</f>
        <v>48</v>
      </c>
      <c r="O430" s="240">
        <v>4</v>
      </c>
      <c r="P430" s="240">
        <v>8</v>
      </c>
      <c r="Q430" s="253">
        <f t="shared" si="28"/>
        <v>32</v>
      </c>
      <c r="R430" s="10"/>
      <c r="S430" s="4">
        <v>0</v>
      </c>
      <c r="T430" s="4">
        <v>0</v>
      </c>
      <c r="U430" s="20">
        <f t="shared" si="29"/>
        <v>0</v>
      </c>
      <c r="V430" s="4"/>
      <c r="W430" s="4"/>
    </row>
    <row r="431" spans="7:23" ht="15.75" thickBot="1">
      <c r="G431" s="767"/>
      <c r="H431" s="770"/>
      <c r="I431" s="773"/>
      <c r="J431" s="794"/>
      <c r="K431" s="794"/>
      <c r="L431" s="776"/>
      <c r="M431" s="776"/>
      <c r="O431" s="44">
        <v>1</v>
      </c>
      <c r="P431" s="183">
        <v>16</v>
      </c>
      <c r="Q431" s="102">
        <f t="shared" si="28"/>
        <v>16</v>
      </c>
      <c r="R431" s="10"/>
      <c r="S431" s="4"/>
      <c r="T431" s="4"/>
      <c r="U431" s="20"/>
      <c r="V431" s="4"/>
      <c r="W431" s="4"/>
    </row>
    <row r="432" spans="7:23">
      <c r="G432" s="721">
        <v>1</v>
      </c>
      <c r="H432" s="735" t="s">
        <v>391</v>
      </c>
      <c r="I432" s="704">
        <v>8020</v>
      </c>
      <c r="J432" s="693">
        <v>48</v>
      </c>
      <c r="K432" s="692" t="s">
        <v>220</v>
      </c>
      <c r="L432" s="737" t="s">
        <v>221</v>
      </c>
      <c r="M432" s="737">
        <f>+G432*J432</f>
        <v>48</v>
      </c>
      <c r="O432" s="240">
        <v>3</v>
      </c>
      <c r="P432" s="239">
        <v>8</v>
      </c>
      <c r="Q432" s="253">
        <f t="shared" si="28"/>
        <v>24</v>
      </c>
      <c r="R432" s="10"/>
      <c r="S432" s="4"/>
      <c r="T432" s="4"/>
      <c r="U432" s="20"/>
      <c r="V432" s="4"/>
      <c r="W432" s="4"/>
    </row>
    <row r="433" spans="7:23" ht="15.75" thickBot="1">
      <c r="G433" s="763"/>
      <c r="H433" s="736"/>
      <c r="I433" s="734"/>
      <c r="J433" s="694"/>
      <c r="K433" s="694"/>
      <c r="L433" s="688"/>
      <c r="M433" s="688"/>
      <c r="O433" s="61">
        <v>2</v>
      </c>
      <c r="P433" s="63">
        <v>12</v>
      </c>
      <c r="Q433" s="81">
        <f t="shared" si="28"/>
        <v>24</v>
      </c>
      <c r="R433" s="10"/>
      <c r="S433" s="4"/>
      <c r="T433" s="4"/>
      <c r="U433" s="20"/>
      <c r="V433" s="4"/>
      <c r="W433" s="4"/>
    </row>
    <row r="434" spans="7:23" ht="15.75" thickBot="1">
      <c r="G434" s="32">
        <v>1</v>
      </c>
      <c r="H434" s="186" t="s">
        <v>391</v>
      </c>
      <c r="I434" s="33">
        <v>8020</v>
      </c>
      <c r="J434" s="87">
        <v>48</v>
      </c>
      <c r="K434" s="87" t="s">
        <v>220</v>
      </c>
      <c r="L434" s="263" t="s">
        <v>221</v>
      </c>
      <c r="M434" s="13">
        <v>48</v>
      </c>
      <c r="O434" s="44">
        <v>8</v>
      </c>
      <c r="P434" s="183">
        <v>6</v>
      </c>
      <c r="Q434" s="182">
        <f t="shared" si="28"/>
        <v>48</v>
      </c>
      <c r="R434" s="10"/>
      <c r="S434" s="4">
        <v>0</v>
      </c>
      <c r="T434" s="4">
        <v>0</v>
      </c>
      <c r="U434" s="20">
        <f t="shared" ref="U434:U440" si="30">S434*T434</f>
        <v>0</v>
      </c>
      <c r="V434" s="4"/>
      <c r="W434" s="4"/>
    </row>
    <row r="435" spans="7:23">
      <c r="G435" s="700">
        <v>19</v>
      </c>
      <c r="H435" s="702" t="s">
        <v>58</v>
      </c>
      <c r="I435" s="704">
        <v>8020</v>
      </c>
      <c r="J435" s="693" t="s">
        <v>219</v>
      </c>
      <c r="K435" s="693" t="s">
        <v>220</v>
      </c>
      <c r="L435" s="707" t="s">
        <v>221</v>
      </c>
      <c r="M435" s="686">
        <v>264</v>
      </c>
      <c r="O435" s="252">
        <v>12</v>
      </c>
      <c r="P435" s="122">
        <v>5</v>
      </c>
      <c r="Q435" s="253">
        <f t="shared" si="28"/>
        <v>60</v>
      </c>
      <c r="R435" s="10"/>
      <c r="S435" s="4">
        <v>0</v>
      </c>
      <c r="T435" s="4">
        <v>0</v>
      </c>
      <c r="U435" s="20">
        <f t="shared" si="30"/>
        <v>0</v>
      </c>
      <c r="V435" s="4"/>
      <c r="W435" s="4"/>
    </row>
    <row r="436" spans="7:23">
      <c r="G436" s="700"/>
      <c r="H436" s="702"/>
      <c r="I436" s="704"/>
      <c r="J436" s="693"/>
      <c r="K436" s="693"/>
      <c r="L436" s="707"/>
      <c r="M436" s="686"/>
      <c r="O436" s="42">
        <v>12</v>
      </c>
      <c r="P436" s="95">
        <v>6</v>
      </c>
      <c r="Q436" s="96">
        <f t="shared" si="28"/>
        <v>72</v>
      </c>
      <c r="R436" s="10"/>
      <c r="S436" s="4">
        <v>0</v>
      </c>
      <c r="T436" s="4">
        <v>0</v>
      </c>
      <c r="U436" s="20">
        <f t="shared" si="30"/>
        <v>0</v>
      </c>
      <c r="V436" s="4"/>
      <c r="W436" s="4"/>
    </row>
    <row r="437" spans="7:23">
      <c r="G437" s="700"/>
      <c r="H437" s="702"/>
      <c r="I437" s="704"/>
      <c r="J437" s="693"/>
      <c r="K437" s="693"/>
      <c r="L437" s="707"/>
      <c r="M437" s="686"/>
      <c r="O437" s="42">
        <v>12</v>
      </c>
      <c r="P437" s="95">
        <v>5</v>
      </c>
      <c r="Q437" s="96">
        <f t="shared" si="28"/>
        <v>60</v>
      </c>
      <c r="R437" s="10"/>
      <c r="S437" s="4">
        <v>0</v>
      </c>
      <c r="T437" s="4">
        <v>0</v>
      </c>
      <c r="U437" s="20">
        <f t="shared" si="30"/>
        <v>0</v>
      </c>
      <c r="V437" s="4"/>
      <c r="W437" s="4"/>
    </row>
    <row r="438" spans="7:23" ht="15.75" thickBot="1">
      <c r="G438" s="701"/>
      <c r="H438" s="703"/>
      <c r="I438" s="705"/>
      <c r="J438" s="706"/>
      <c r="K438" s="706"/>
      <c r="L438" s="708"/>
      <c r="M438" s="687"/>
      <c r="O438" s="42">
        <v>12</v>
      </c>
      <c r="P438" s="95">
        <v>6</v>
      </c>
      <c r="Q438" s="97">
        <f t="shared" si="28"/>
        <v>72</v>
      </c>
      <c r="R438" s="10"/>
      <c r="S438" s="4">
        <v>0</v>
      </c>
      <c r="T438" s="4">
        <v>0</v>
      </c>
      <c r="U438" s="20">
        <f t="shared" si="30"/>
        <v>0</v>
      </c>
      <c r="V438" s="4"/>
      <c r="W438" s="4"/>
    </row>
    <row r="439" spans="7:23">
      <c r="G439" s="709">
        <v>15</v>
      </c>
      <c r="H439" s="710" t="s">
        <v>61</v>
      </c>
      <c r="I439" s="711">
        <v>8019</v>
      </c>
      <c r="J439" s="712" t="s">
        <v>219</v>
      </c>
      <c r="K439" s="712" t="s">
        <v>220</v>
      </c>
      <c r="L439" s="713" t="s">
        <v>221</v>
      </c>
      <c r="M439" s="758">
        <v>264</v>
      </c>
      <c r="O439" s="252">
        <v>12</v>
      </c>
      <c r="P439" s="122">
        <v>5</v>
      </c>
      <c r="Q439" s="253">
        <f t="shared" si="28"/>
        <v>60</v>
      </c>
      <c r="R439" s="10"/>
      <c r="S439" s="268">
        <v>0</v>
      </c>
      <c r="T439" s="240">
        <v>0</v>
      </c>
      <c r="U439" s="269">
        <f t="shared" si="30"/>
        <v>0</v>
      </c>
      <c r="V439" s="240"/>
      <c r="W439" s="241"/>
    </row>
    <row r="440" spans="7:23">
      <c r="G440" s="700"/>
      <c r="H440" s="702"/>
      <c r="I440" s="704"/>
      <c r="J440" s="693"/>
      <c r="K440" s="693"/>
      <c r="L440" s="714"/>
      <c r="M440" s="759"/>
      <c r="O440" s="42">
        <v>12</v>
      </c>
      <c r="P440" s="95">
        <v>6</v>
      </c>
      <c r="Q440" s="96">
        <f t="shared" si="28"/>
        <v>72</v>
      </c>
      <c r="R440" s="10"/>
      <c r="S440" s="14">
        <v>12</v>
      </c>
      <c r="T440" s="4">
        <v>1</v>
      </c>
      <c r="U440" s="20">
        <f t="shared" si="30"/>
        <v>12</v>
      </c>
      <c r="V440" s="4" t="s">
        <v>223</v>
      </c>
      <c r="W440" s="8"/>
    </row>
    <row r="441" spans="7:23">
      <c r="G441" s="700"/>
      <c r="H441" s="702"/>
      <c r="I441" s="704"/>
      <c r="J441" s="693"/>
      <c r="K441" s="693"/>
      <c r="L441" s="714"/>
      <c r="M441" s="759"/>
      <c r="O441" s="42">
        <v>12</v>
      </c>
      <c r="P441" s="95">
        <v>5</v>
      </c>
      <c r="Q441" s="96">
        <f t="shared" si="28"/>
        <v>60</v>
      </c>
      <c r="R441" s="10"/>
      <c r="S441" s="14">
        <v>0</v>
      </c>
      <c r="T441" s="4">
        <v>0</v>
      </c>
      <c r="U441" s="20">
        <v>0</v>
      </c>
      <c r="V441" s="4"/>
      <c r="W441" s="8"/>
    </row>
    <row r="442" spans="7:23" ht="15.75" thickBot="1">
      <c r="G442" s="701"/>
      <c r="H442" s="703"/>
      <c r="I442" s="705"/>
      <c r="J442" s="706"/>
      <c r="K442" s="706"/>
      <c r="L442" s="715"/>
      <c r="M442" s="760"/>
      <c r="O442" s="13">
        <v>12</v>
      </c>
      <c r="P442" s="99">
        <v>6</v>
      </c>
      <c r="Q442" s="78">
        <f t="shared" si="28"/>
        <v>72</v>
      </c>
      <c r="R442" s="10"/>
      <c r="S442" s="100">
        <v>0</v>
      </c>
      <c r="T442" s="5">
        <v>0</v>
      </c>
      <c r="U442" s="101">
        <v>0</v>
      </c>
      <c r="V442" s="5"/>
      <c r="W442" s="6"/>
    </row>
    <row r="443" spans="7:23">
      <c r="G443" s="726">
        <v>17</v>
      </c>
      <c r="H443" s="729" t="s">
        <v>65</v>
      </c>
      <c r="I443" s="711">
        <v>8021</v>
      </c>
      <c r="J443" s="712" t="s">
        <v>219</v>
      </c>
      <c r="K443" s="712" t="s">
        <v>220</v>
      </c>
      <c r="L443" s="713" t="s">
        <v>221</v>
      </c>
      <c r="M443" s="758">
        <v>264</v>
      </c>
      <c r="O443" s="252">
        <v>12</v>
      </c>
      <c r="P443" s="122">
        <v>5</v>
      </c>
      <c r="Q443" s="253">
        <f t="shared" si="28"/>
        <v>60</v>
      </c>
      <c r="R443" s="10"/>
      <c r="S443" s="4">
        <v>0</v>
      </c>
      <c r="T443" s="4">
        <v>0</v>
      </c>
      <c r="U443" s="20">
        <f t="shared" ref="U443:U478" si="31">S443*T443</f>
        <v>0</v>
      </c>
      <c r="V443" s="4"/>
      <c r="W443" s="4"/>
    </row>
    <row r="444" spans="7:23">
      <c r="G444" s="727"/>
      <c r="H444" s="730"/>
      <c r="I444" s="704"/>
      <c r="J444" s="693"/>
      <c r="K444" s="693"/>
      <c r="L444" s="714"/>
      <c r="M444" s="759"/>
      <c r="O444" s="42">
        <v>12</v>
      </c>
      <c r="P444" s="95">
        <v>6</v>
      </c>
      <c r="Q444" s="96">
        <f t="shared" si="28"/>
        <v>72</v>
      </c>
      <c r="R444" s="10"/>
      <c r="S444" s="4">
        <v>0</v>
      </c>
      <c r="T444" s="4">
        <v>0</v>
      </c>
      <c r="U444" s="20">
        <f t="shared" si="31"/>
        <v>0</v>
      </c>
      <c r="V444" s="4"/>
      <c r="W444" s="4"/>
    </row>
    <row r="445" spans="7:23">
      <c r="G445" s="727"/>
      <c r="H445" s="730"/>
      <c r="I445" s="704"/>
      <c r="J445" s="693"/>
      <c r="K445" s="693"/>
      <c r="L445" s="714"/>
      <c r="M445" s="759"/>
      <c r="O445" s="42">
        <v>12</v>
      </c>
      <c r="P445" s="95">
        <v>5</v>
      </c>
      <c r="Q445" s="96">
        <f t="shared" si="28"/>
        <v>60</v>
      </c>
      <c r="R445" s="10"/>
      <c r="S445" s="4">
        <v>0</v>
      </c>
      <c r="T445" s="4">
        <v>0</v>
      </c>
      <c r="U445" s="20">
        <f t="shared" si="31"/>
        <v>0</v>
      </c>
      <c r="V445" s="4"/>
      <c r="W445" s="4"/>
    </row>
    <row r="446" spans="7:23" ht="15.75" thickBot="1">
      <c r="G446" s="728"/>
      <c r="H446" s="731"/>
      <c r="I446" s="705"/>
      <c r="J446" s="706"/>
      <c r="K446" s="706"/>
      <c r="L446" s="715"/>
      <c r="M446" s="760"/>
      <c r="O446" s="13">
        <v>12</v>
      </c>
      <c r="P446" s="99">
        <v>6</v>
      </c>
      <c r="Q446" s="78">
        <f t="shared" si="28"/>
        <v>72</v>
      </c>
      <c r="R446" s="10"/>
      <c r="S446" s="4">
        <v>0</v>
      </c>
      <c r="T446" s="4">
        <v>0</v>
      </c>
      <c r="U446" s="20">
        <f t="shared" si="31"/>
        <v>0</v>
      </c>
      <c r="V446" s="4"/>
      <c r="W446" s="4"/>
    </row>
    <row r="447" spans="7:23" ht="15.75" thickBot="1">
      <c r="G447" s="720">
        <v>1</v>
      </c>
      <c r="H447" s="723" t="s">
        <v>68</v>
      </c>
      <c r="I447" s="711">
        <v>8025</v>
      </c>
      <c r="J447" s="718" t="s">
        <v>227</v>
      </c>
      <c r="K447" s="711" t="s">
        <v>220</v>
      </c>
      <c r="L447" s="685" t="s">
        <v>221</v>
      </c>
      <c r="M447" s="685">
        <f>65+77+65+77</f>
        <v>284</v>
      </c>
      <c r="O447" s="271">
        <v>13</v>
      </c>
      <c r="P447" s="252">
        <v>5</v>
      </c>
      <c r="Q447" s="272">
        <f t="shared" si="28"/>
        <v>65</v>
      </c>
      <c r="R447" s="10"/>
      <c r="S447" s="4">
        <v>0</v>
      </c>
      <c r="T447" s="4">
        <v>0</v>
      </c>
      <c r="U447" s="20">
        <f t="shared" si="31"/>
        <v>0</v>
      </c>
      <c r="V447" s="4"/>
      <c r="W447" s="4"/>
    </row>
    <row r="448" spans="7:23">
      <c r="G448" s="721"/>
      <c r="H448" s="724"/>
      <c r="I448" s="704"/>
      <c r="J448" s="719"/>
      <c r="K448" s="704"/>
      <c r="L448" s="686"/>
      <c r="M448" s="686"/>
      <c r="O448" s="271">
        <v>13</v>
      </c>
      <c r="P448" s="252">
        <v>5</v>
      </c>
      <c r="Q448" s="272">
        <f t="shared" si="28"/>
        <v>65</v>
      </c>
      <c r="R448" s="10"/>
      <c r="S448" s="4">
        <v>0</v>
      </c>
      <c r="T448" s="4">
        <v>0</v>
      </c>
      <c r="U448" s="20">
        <f t="shared" si="31"/>
        <v>0</v>
      </c>
      <c r="V448" s="4"/>
      <c r="W448" s="4"/>
    </row>
    <row r="449" spans="7:23">
      <c r="G449" s="721"/>
      <c r="H449" s="724"/>
      <c r="I449" s="704"/>
      <c r="J449" s="719"/>
      <c r="K449" s="704"/>
      <c r="L449" s="686"/>
      <c r="M449" s="686"/>
      <c r="O449" s="14">
        <v>12</v>
      </c>
      <c r="P449" s="4">
        <v>1</v>
      </c>
      <c r="Q449" s="176">
        <f t="shared" si="28"/>
        <v>12</v>
      </c>
      <c r="R449" s="10"/>
      <c r="S449" s="4">
        <v>0</v>
      </c>
      <c r="T449" s="4">
        <v>0</v>
      </c>
      <c r="U449" s="20">
        <f t="shared" si="31"/>
        <v>0</v>
      </c>
      <c r="V449" s="4"/>
      <c r="W449" s="4"/>
    </row>
    <row r="450" spans="7:23">
      <c r="G450" s="721"/>
      <c r="H450" s="724"/>
      <c r="I450" s="704"/>
      <c r="J450" s="719"/>
      <c r="K450" s="704"/>
      <c r="L450" s="686"/>
      <c r="M450" s="686"/>
      <c r="O450" s="14">
        <v>13</v>
      </c>
      <c r="P450" s="4">
        <v>5</v>
      </c>
      <c r="Q450" s="175">
        <f t="shared" si="28"/>
        <v>65</v>
      </c>
      <c r="R450" s="10"/>
      <c r="S450" s="4">
        <v>0</v>
      </c>
      <c r="T450" s="4">
        <v>0</v>
      </c>
      <c r="U450" s="20">
        <f t="shared" si="31"/>
        <v>0</v>
      </c>
      <c r="V450" s="4"/>
      <c r="W450" s="4"/>
    </row>
    <row r="451" spans="7:23">
      <c r="G451" s="721"/>
      <c r="H451" s="724"/>
      <c r="I451" s="704"/>
      <c r="J451" s="719"/>
      <c r="K451" s="704"/>
      <c r="L451" s="686"/>
      <c r="M451" s="686"/>
      <c r="O451" s="177">
        <v>13</v>
      </c>
      <c r="P451" s="44">
        <v>5</v>
      </c>
      <c r="Q451" s="175">
        <f t="shared" si="28"/>
        <v>65</v>
      </c>
      <c r="R451" s="10"/>
      <c r="S451" s="4">
        <v>0</v>
      </c>
      <c r="T451" s="4">
        <v>0</v>
      </c>
      <c r="U451" s="20">
        <f t="shared" si="31"/>
        <v>0</v>
      </c>
      <c r="V451" s="4"/>
      <c r="W451" s="4"/>
    </row>
    <row r="452" spans="7:23" ht="15.75" thickBot="1">
      <c r="G452" s="722"/>
      <c r="H452" s="725"/>
      <c r="I452" s="705"/>
      <c r="J452" s="732"/>
      <c r="K452" s="705"/>
      <c r="L452" s="687"/>
      <c r="M452" s="687"/>
      <c r="O452" s="100">
        <v>12</v>
      </c>
      <c r="P452" s="5">
        <v>1</v>
      </c>
      <c r="Q452" s="90">
        <f t="shared" si="28"/>
        <v>12</v>
      </c>
      <c r="R452" s="10"/>
      <c r="S452" s="4">
        <v>0</v>
      </c>
      <c r="T452" s="4">
        <v>0</v>
      </c>
      <c r="U452" s="20">
        <f t="shared" si="31"/>
        <v>0</v>
      </c>
      <c r="V452" s="4"/>
      <c r="W452" s="4"/>
    </row>
    <row r="453" spans="7:23">
      <c r="G453" s="720">
        <v>1</v>
      </c>
      <c r="H453" s="723" t="s">
        <v>70</v>
      </c>
      <c r="I453" s="711">
        <v>8014</v>
      </c>
      <c r="J453" s="712" t="s">
        <v>219</v>
      </c>
      <c r="K453" s="712" t="s">
        <v>220</v>
      </c>
      <c r="L453" s="685" t="s">
        <v>221</v>
      </c>
      <c r="M453" s="685">
        <v>264</v>
      </c>
      <c r="O453" s="252">
        <v>12</v>
      </c>
      <c r="P453" s="122">
        <v>5</v>
      </c>
      <c r="Q453" s="253">
        <f t="shared" si="28"/>
        <v>60</v>
      </c>
      <c r="R453" s="10"/>
      <c r="S453" s="4">
        <v>0</v>
      </c>
      <c r="T453" s="4">
        <v>0</v>
      </c>
      <c r="U453" s="20">
        <f t="shared" si="31"/>
        <v>0</v>
      </c>
      <c r="V453" s="4"/>
      <c r="W453" s="4"/>
    </row>
    <row r="454" spans="7:23">
      <c r="G454" s="721"/>
      <c r="H454" s="724"/>
      <c r="I454" s="704"/>
      <c r="J454" s="693"/>
      <c r="K454" s="693"/>
      <c r="L454" s="686"/>
      <c r="M454" s="686"/>
      <c r="O454" s="42">
        <v>12</v>
      </c>
      <c r="P454" s="95">
        <v>6</v>
      </c>
      <c r="Q454" s="96">
        <f t="shared" si="28"/>
        <v>72</v>
      </c>
      <c r="R454" s="10"/>
      <c r="S454" s="4">
        <v>0</v>
      </c>
      <c r="T454" s="4">
        <v>0</v>
      </c>
      <c r="U454" s="20">
        <f t="shared" si="31"/>
        <v>0</v>
      </c>
      <c r="V454" s="4"/>
      <c r="W454" s="4"/>
    </row>
    <row r="455" spans="7:23">
      <c r="G455" s="721"/>
      <c r="H455" s="724"/>
      <c r="I455" s="704"/>
      <c r="J455" s="693"/>
      <c r="K455" s="693"/>
      <c r="L455" s="686"/>
      <c r="M455" s="686"/>
      <c r="O455" s="42">
        <v>12</v>
      </c>
      <c r="P455" s="95">
        <v>5</v>
      </c>
      <c r="Q455" s="96">
        <f t="shared" si="28"/>
        <v>60</v>
      </c>
      <c r="R455" s="10"/>
      <c r="S455" s="4">
        <v>0</v>
      </c>
      <c r="T455" s="4">
        <v>0</v>
      </c>
      <c r="U455" s="20">
        <f t="shared" si="31"/>
        <v>0</v>
      </c>
      <c r="V455" s="4"/>
      <c r="W455" s="4"/>
    </row>
    <row r="456" spans="7:23" ht="15.75" thickBot="1">
      <c r="G456" s="722"/>
      <c r="H456" s="725"/>
      <c r="I456" s="705"/>
      <c r="J456" s="706"/>
      <c r="K456" s="706"/>
      <c r="L456" s="687"/>
      <c r="M456" s="687"/>
      <c r="O456" s="13">
        <v>12</v>
      </c>
      <c r="P456" s="99">
        <v>6</v>
      </c>
      <c r="Q456" s="78">
        <f t="shared" si="28"/>
        <v>72</v>
      </c>
      <c r="R456" s="10"/>
      <c r="S456" s="4">
        <v>0</v>
      </c>
      <c r="T456" s="4">
        <v>0</v>
      </c>
      <c r="U456" s="20">
        <f t="shared" si="31"/>
        <v>0</v>
      </c>
      <c r="V456" s="4"/>
      <c r="W456" s="4"/>
    </row>
    <row r="457" spans="7:23">
      <c r="G457" s="720">
        <v>1</v>
      </c>
      <c r="H457" s="710" t="s">
        <v>71</v>
      </c>
      <c r="I457" s="711">
        <v>8002</v>
      </c>
      <c r="J457" s="712" t="s">
        <v>219</v>
      </c>
      <c r="K457" s="712" t="s">
        <v>220</v>
      </c>
      <c r="L457" s="685" t="s">
        <v>221</v>
      </c>
      <c r="M457" s="685">
        <v>264</v>
      </c>
      <c r="O457" s="252">
        <v>12</v>
      </c>
      <c r="P457" s="122">
        <v>5</v>
      </c>
      <c r="Q457" s="253">
        <f t="shared" si="28"/>
        <v>60</v>
      </c>
      <c r="R457" s="10"/>
      <c r="S457" s="4">
        <v>0</v>
      </c>
      <c r="T457" s="4">
        <v>0</v>
      </c>
      <c r="U457" s="20">
        <f t="shared" si="31"/>
        <v>0</v>
      </c>
      <c r="V457" s="4"/>
      <c r="W457" s="4"/>
    </row>
    <row r="458" spans="7:23">
      <c r="G458" s="721"/>
      <c r="H458" s="702"/>
      <c r="I458" s="704"/>
      <c r="J458" s="693"/>
      <c r="K458" s="693"/>
      <c r="L458" s="686"/>
      <c r="M458" s="686"/>
      <c r="O458" s="42">
        <v>12</v>
      </c>
      <c r="P458" s="95">
        <v>6</v>
      </c>
      <c r="Q458" s="96">
        <f t="shared" si="28"/>
        <v>72</v>
      </c>
      <c r="R458" s="10"/>
      <c r="S458" s="4">
        <v>0</v>
      </c>
      <c r="T458" s="4">
        <v>0</v>
      </c>
      <c r="U458" s="20">
        <f t="shared" si="31"/>
        <v>0</v>
      </c>
      <c r="V458" s="4"/>
      <c r="W458" s="4"/>
    </row>
    <row r="459" spans="7:23">
      <c r="G459" s="721"/>
      <c r="H459" s="702"/>
      <c r="I459" s="704"/>
      <c r="J459" s="693"/>
      <c r="K459" s="693"/>
      <c r="L459" s="686"/>
      <c r="M459" s="686"/>
      <c r="O459" s="42">
        <v>12</v>
      </c>
      <c r="P459" s="95">
        <v>5</v>
      </c>
      <c r="Q459" s="96">
        <f t="shared" si="28"/>
        <v>60</v>
      </c>
      <c r="R459" s="10"/>
      <c r="S459" s="4">
        <v>0</v>
      </c>
      <c r="T459" s="4">
        <v>0</v>
      </c>
      <c r="U459" s="20">
        <f t="shared" si="31"/>
        <v>0</v>
      </c>
      <c r="V459" s="4"/>
      <c r="W459" s="4"/>
    </row>
    <row r="460" spans="7:23" ht="15.75" thickBot="1">
      <c r="G460" s="722"/>
      <c r="H460" s="703"/>
      <c r="I460" s="705"/>
      <c r="J460" s="706"/>
      <c r="K460" s="706"/>
      <c r="L460" s="687"/>
      <c r="M460" s="687"/>
      <c r="O460" s="13">
        <v>12</v>
      </c>
      <c r="P460" s="99">
        <v>6</v>
      </c>
      <c r="Q460" s="78">
        <f t="shared" si="28"/>
        <v>72</v>
      </c>
      <c r="R460" s="10"/>
      <c r="S460" s="4">
        <v>0</v>
      </c>
      <c r="T460" s="4">
        <v>0</v>
      </c>
      <c r="U460" s="20">
        <f t="shared" si="31"/>
        <v>0</v>
      </c>
      <c r="V460" s="4"/>
      <c r="W460" s="4"/>
    </row>
    <row r="461" spans="7:23">
      <c r="G461" s="720">
        <v>8</v>
      </c>
      <c r="H461" s="710" t="s">
        <v>72</v>
      </c>
      <c r="I461" s="711">
        <v>8022</v>
      </c>
      <c r="J461" s="711" t="s">
        <v>219</v>
      </c>
      <c r="K461" s="711" t="s">
        <v>220</v>
      </c>
      <c r="L461" s="685" t="s">
        <v>221</v>
      </c>
      <c r="M461" s="713">
        <v>264</v>
      </c>
      <c r="O461" s="252">
        <v>12</v>
      </c>
      <c r="P461" s="122">
        <v>5</v>
      </c>
      <c r="Q461" s="253">
        <f t="shared" si="28"/>
        <v>60</v>
      </c>
      <c r="R461" s="10"/>
      <c r="S461" s="4">
        <v>0</v>
      </c>
      <c r="T461" s="4">
        <v>0</v>
      </c>
      <c r="U461" s="20">
        <f t="shared" si="31"/>
        <v>0</v>
      </c>
      <c r="V461" s="4"/>
      <c r="W461" s="4"/>
    </row>
    <row r="462" spans="7:23">
      <c r="G462" s="721"/>
      <c r="H462" s="702"/>
      <c r="I462" s="704"/>
      <c r="J462" s="704"/>
      <c r="K462" s="704"/>
      <c r="L462" s="686"/>
      <c r="M462" s="714"/>
      <c r="O462" s="42">
        <v>12</v>
      </c>
      <c r="P462" s="95">
        <v>6</v>
      </c>
      <c r="Q462" s="96">
        <f t="shared" si="28"/>
        <v>72</v>
      </c>
      <c r="R462" s="10"/>
      <c r="S462" s="4">
        <v>0</v>
      </c>
      <c r="T462" s="4">
        <v>0</v>
      </c>
      <c r="U462" s="20">
        <f t="shared" si="31"/>
        <v>0</v>
      </c>
      <c r="V462" s="4"/>
      <c r="W462" s="4"/>
    </row>
    <row r="463" spans="7:23">
      <c r="G463" s="721"/>
      <c r="H463" s="702"/>
      <c r="I463" s="704"/>
      <c r="J463" s="704"/>
      <c r="K463" s="704"/>
      <c r="L463" s="686"/>
      <c r="M463" s="714"/>
      <c r="O463" s="42">
        <v>12</v>
      </c>
      <c r="P463" s="95">
        <v>5</v>
      </c>
      <c r="Q463" s="96">
        <f t="shared" si="28"/>
        <v>60</v>
      </c>
      <c r="R463" s="10"/>
      <c r="S463" s="4">
        <v>0</v>
      </c>
      <c r="T463" s="4">
        <v>0</v>
      </c>
      <c r="U463" s="20">
        <f t="shared" si="31"/>
        <v>0</v>
      </c>
      <c r="V463" s="4"/>
      <c r="W463" s="4"/>
    </row>
    <row r="464" spans="7:23" ht="15.75" thickBot="1">
      <c r="G464" s="722"/>
      <c r="H464" s="703"/>
      <c r="I464" s="705"/>
      <c r="J464" s="705"/>
      <c r="K464" s="705"/>
      <c r="L464" s="687"/>
      <c r="M464" s="715"/>
      <c r="O464" s="13">
        <v>12</v>
      </c>
      <c r="P464" s="99">
        <v>6</v>
      </c>
      <c r="Q464" s="78">
        <f t="shared" si="28"/>
        <v>72</v>
      </c>
      <c r="S464" s="4">
        <v>0</v>
      </c>
      <c r="T464" s="4">
        <v>0</v>
      </c>
      <c r="U464" s="20">
        <f t="shared" si="31"/>
        <v>0</v>
      </c>
      <c r="V464" s="4"/>
      <c r="W464" s="4"/>
    </row>
    <row r="465" spans="7:23">
      <c r="G465" s="720">
        <v>1</v>
      </c>
      <c r="H465" s="710" t="s">
        <v>72</v>
      </c>
      <c r="I465" s="711">
        <v>8022</v>
      </c>
      <c r="J465" s="711">
        <v>66</v>
      </c>
      <c r="K465" s="711" t="s">
        <v>220</v>
      </c>
      <c r="L465" s="685" t="s">
        <v>221</v>
      </c>
      <c r="M465" s="685">
        <f>+G465*J465</f>
        <v>66</v>
      </c>
      <c r="O465" s="240">
        <v>12</v>
      </c>
      <c r="P465" s="240">
        <v>5</v>
      </c>
      <c r="Q465" s="253">
        <f t="shared" si="28"/>
        <v>60</v>
      </c>
      <c r="S465" s="4">
        <v>0</v>
      </c>
      <c r="T465" s="4">
        <v>0</v>
      </c>
      <c r="U465" s="20">
        <f t="shared" si="31"/>
        <v>0</v>
      </c>
      <c r="V465" s="4"/>
      <c r="W465" s="4"/>
    </row>
    <row r="466" spans="7:23" ht="15.75" thickBot="1">
      <c r="G466" s="722"/>
      <c r="H466" s="703"/>
      <c r="I466" s="705"/>
      <c r="J466" s="705"/>
      <c r="K466" s="705"/>
      <c r="L466" s="687"/>
      <c r="M466" s="687"/>
      <c r="O466" s="5">
        <v>6</v>
      </c>
      <c r="P466" s="5">
        <v>1</v>
      </c>
      <c r="Q466" s="78">
        <f t="shared" si="28"/>
        <v>6</v>
      </c>
      <c r="S466" s="4">
        <v>0</v>
      </c>
      <c r="T466" s="4">
        <v>0</v>
      </c>
      <c r="U466" s="20">
        <f t="shared" si="31"/>
        <v>0</v>
      </c>
      <c r="V466" s="4"/>
      <c r="W466" s="4"/>
    </row>
    <row r="467" spans="7:23">
      <c r="G467" s="720">
        <v>22</v>
      </c>
      <c r="H467" s="710" t="s">
        <v>74</v>
      </c>
      <c r="I467" s="711">
        <v>8009</v>
      </c>
      <c r="J467" s="711" t="s">
        <v>219</v>
      </c>
      <c r="K467" s="711" t="s">
        <v>220</v>
      </c>
      <c r="L467" s="685" t="s">
        <v>221</v>
      </c>
      <c r="M467" s="713">
        <v>264</v>
      </c>
      <c r="O467" s="252">
        <v>12</v>
      </c>
      <c r="P467" s="122">
        <v>5</v>
      </c>
      <c r="Q467" s="253">
        <f t="shared" si="28"/>
        <v>60</v>
      </c>
      <c r="S467" s="4">
        <v>0</v>
      </c>
      <c r="T467" s="4">
        <v>0</v>
      </c>
      <c r="U467" s="20">
        <f t="shared" si="31"/>
        <v>0</v>
      </c>
      <c r="V467" s="4"/>
      <c r="W467" s="4"/>
    </row>
    <row r="468" spans="7:23">
      <c r="G468" s="721"/>
      <c r="H468" s="702"/>
      <c r="I468" s="704"/>
      <c r="J468" s="704"/>
      <c r="K468" s="704"/>
      <c r="L468" s="686"/>
      <c r="M468" s="714"/>
      <c r="O468" s="42">
        <v>12</v>
      </c>
      <c r="P468" s="95">
        <v>6</v>
      </c>
      <c r="Q468" s="96">
        <f t="shared" si="28"/>
        <v>72</v>
      </c>
      <c r="S468" s="4">
        <v>0</v>
      </c>
      <c r="T468" s="4">
        <v>0</v>
      </c>
      <c r="U468" s="20">
        <f t="shared" si="31"/>
        <v>0</v>
      </c>
      <c r="V468" s="4"/>
      <c r="W468" s="4"/>
    </row>
    <row r="469" spans="7:23">
      <c r="G469" s="721"/>
      <c r="H469" s="702"/>
      <c r="I469" s="704"/>
      <c r="J469" s="704"/>
      <c r="K469" s="704"/>
      <c r="L469" s="686"/>
      <c r="M469" s="714"/>
      <c r="O469" s="42">
        <v>12</v>
      </c>
      <c r="P469" s="95">
        <v>5</v>
      </c>
      <c r="Q469" s="96">
        <f t="shared" si="28"/>
        <v>60</v>
      </c>
      <c r="S469" s="4">
        <v>0</v>
      </c>
      <c r="T469" s="4">
        <v>0</v>
      </c>
      <c r="U469" s="20">
        <f t="shared" si="31"/>
        <v>0</v>
      </c>
      <c r="V469" s="4"/>
      <c r="W469" s="4"/>
    </row>
    <row r="470" spans="7:23" ht="15.75" thickBot="1">
      <c r="G470" s="722"/>
      <c r="H470" s="703"/>
      <c r="I470" s="705"/>
      <c r="J470" s="705"/>
      <c r="K470" s="705"/>
      <c r="L470" s="687"/>
      <c r="M470" s="715"/>
      <c r="O470" s="13">
        <v>12</v>
      </c>
      <c r="P470" s="99">
        <v>6</v>
      </c>
      <c r="Q470" s="78">
        <f t="shared" si="28"/>
        <v>72</v>
      </c>
      <c r="S470" s="4">
        <v>0</v>
      </c>
      <c r="T470" s="4">
        <v>0</v>
      </c>
      <c r="U470" s="20">
        <f t="shared" si="31"/>
        <v>0</v>
      </c>
      <c r="V470" s="4"/>
      <c r="W470" s="4"/>
    </row>
    <row r="471" spans="7:23">
      <c r="G471" s="720">
        <v>1</v>
      </c>
      <c r="H471" s="710" t="s">
        <v>74</v>
      </c>
      <c r="I471" s="711">
        <v>8009</v>
      </c>
      <c r="J471" s="711">
        <v>48</v>
      </c>
      <c r="K471" s="711" t="s">
        <v>220</v>
      </c>
      <c r="L471" s="685" t="s">
        <v>221</v>
      </c>
      <c r="M471" s="685">
        <f>+G471*J471</f>
        <v>48</v>
      </c>
      <c r="O471" s="240">
        <v>8</v>
      </c>
      <c r="P471" s="240">
        <v>5</v>
      </c>
      <c r="Q471" s="253">
        <f t="shared" si="28"/>
        <v>40</v>
      </c>
      <c r="S471" s="4">
        <v>0</v>
      </c>
      <c r="T471" s="4">
        <v>0</v>
      </c>
      <c r="U471" s="20">
        <f t="shared" si="31"/>
        <v>0</v>
      </c>
      <c r="V471" s="4"/>
      <c r="W471" s="4"/>
    </row>
    <row r="472" spans="7:23" ht="15.75" thickBot="1">
      <c r="G472" s="722"/>
      <c r="H472" s="703"/>
      <c r="I472" s="705"/>
      <c r="J472" s="705"/>
      <c r="K472" s="705"/>
      <c r="L472" s="687"/>
      <c r="M472" s="687"/>
      <c r="O472" s="61">
        <v>12</v>
      </c>
      <c r="P472" s="61">
        <v>1</v>
      </c>
      <c r="Q472" s="81">
        <f t="shared" si="28"/>
        <v>12</v>
      </c>
      <c r="S472" s="4">
        <v>0</v>
      </c>
      <c r="T472" s="4">
        <v>0</v>
      </c>
      <c r="U472" s="20">
        <f t="shared" si="31"/>
        <v>0</v>
      </c>
      <c r="V472" s="4"/>
      <c r="W472" s="4"/>
    </row>
    <row r="473" spans="7:23">
      <c r="G473" s="720">
        <v>1</v>
      </c>
      <c r="H473" s="710" t="s">
        <v>74</v>
      </c>
      <c r="I473" s="711">
        <v>8009</v>
      </c>
      <c r="J473" s="711">
        <v>40</v>
      </c>
      <c r="K473" s="711" t="s">
        <v>220</v>
      </c>
      <c r="L473" s="685" t="s">
        <v>221</v>
      </c>
      <c r="M473" s="685">
        <f>+G473*J473</f>
        <v>40</v>
      </c>
      <c r="O473" s="192">
        <v>6</v>
      </c>
      <c r="P473" s="291">
        <v>5</v>
      </c>
      <c r="Q473" s="96">
        <f t="shared" si="28"/>
        <v>30</v>
      </c>
      <c r="S473" s="4">
        <v>0</v>
      </c>
      <c r="T473" s="4">
        <v>0</v>
      </c>
      <c r="U473" s="20">
        <f t="shared" si="31"/>
        <v>0</v>
      </c>
      <c r="V473" s="4"/>
      <c r="W473" s="4"/>
    </row>
    <row r="474" spans="7:23" ht="15.75" thickBot="1">
      <c r="G474" s="722"/>
      <c r="H474" s="703"/>
      <c r="I474" s="705"/>
      <c r="J474" s="705"/>
      <c r="K474" s="705"/>
      <c r="L474" s="687"/>
      <c r="M474" s="687"/>
      <c r="O474" s="5">
        <v>10</v>
      </c>
      <c r="P474" s="5">
        <v>1</v>
      </c>
      <c r="Q474" s="101">
        <f t="shared" si="28"/>
        <v>10</v>
      </c>
      <c r="S474" s="4">
        <v>0</v>
      </c>
      <c r="T474" s="4">
        <v>0</v>
      </c>
      <c r="U474" s="20">
        <f t="shared" si="31"/>
        <v>0</v>
      </c>
      <c r="V474" s="4"/>
      <c r="W474" s="4"/>
    </row>
    <row r="475" spans="7:23">
      <c r="G475" s="720">
        <v>3</v>
      </c>
      <c r="H475" s="710" t="s">
        <v>77</v>
      </c>
      <c r="I475" s="711">
        <v>8018</v>
      </c>
      <c r="J475" s="711" t="s">
        <v>219</v>
      </c>
      <c r="K475" s="711" t="s">
        <v>220</v>
      </c>
      <c r="L475" s="685" t="s">
        <v>221</v>
      </c>
      <c r="M475" s="685">
        <v>264</v>
      </c>
      <c r="O475" s="252">
        <v>12</v>
      </c>
      <c r="P475" s="122">
        <v>5</v>
      </c>
      <c r="Q475" s="253">
        <f t="shared" si="28"/>
        <v>60</v>
      </c>
      <c r="S475" s="4">
        <v>0</v>
      </c>
      <c r="T475" s="4">
        <v>0</v>
      </c>
      <c r="U475" s="20">
        <f t="shared" si="31"/>
        <v>0</v>
      </c>
      <c r="V475" s="4"/>
      <c r="W475" s="4"/>
    </row>
    <row r="476" spans="7:23">
      <c r="G476" s="721"/>
      <c r="H476" s="702"/>
      <c r="I476" s="704"/>
      <c r="J476" s="704"/>
      <c r="K476" s="704"/>
      <c r="L476" s="686"/>
      <c r="M476" s="686"/>
      <c r="O476" s="42">
        <v>12</v>
      </c>
      <c r="P476" s="95">
        <v>6</v>
      </c>
      <c r="Q476" s="96">
        <f t="shared" si="28"/>
        <v>72</v>
      </c>
      <c r="S476" s="4">
        <v>0</v>
      </c>
      <c r="T476" s="4">
        <v>0</v>
      </c>
      <c r="U476" s="20">
        <f t="shared" si="31"/>
        <v>0</v>
      </c>
      <c r="V476" s="4"/>
      <c r="W476" s="4"/>
    </row>
    <row r="477" spans="7:23">
      <c r="G477" s="721"/>
      <c r="H477" s="702"/>
      <c r="I477" s="704"/>
      <c r="J477" s="704"/>
      <c r="K477" s="704"/>
      <c r="L477" s="686"/>
      <c r="M477" s="686"/>
      <c r="O477" s="42">
        <v>12</v>
      </c>
      <c r="P477" s="95">
        <v>5</v>
      </c>
      <c r="Q477" s="96">
        <f t="shared" si="28"/>
        <v>60</v>
      </c>
      <c r="S477" s="4">
        <v>0</v>
      </c>
      <c r="T477" s="4">
        <v>0</v>
      </c>
      <c r="U477" s="20">
        <f t="shared" si="31"/>
        <v>0</v>
      </c>
      <c r="V477" s="4"/>
      <c r="W477" s="4"/>
    </row>
    <row r="478" spans="7:23" ht="15.75" thickBot="1">
      <c r="G478" s="763"/>
      <c r="H478" s="736"/>
      <c r="I478" s="734"/>
      <c r="J478" s="734"/>
      <c r="K478" s="734"/>
      <c r="L478" s="688"/>
      <c r="M478" s="686"/>
      <c r="O478" s="13">
        <v>12</v>
      </c>
      <c r="P478" s="99">
        <v>6</v>
      </c>
      <c r="Q478" s="78">
        <f t="shared" si="28"/>
        <v>72</v>
      </c>
      <c r="S478" s="4">
        <v>0</v>
      </c>
      <c r="T478" s="4">
        <v>0</v>
      </c>
      <c r="U478" s="20">
        <f t="shared" si="31"/>
        <v>0</v>
      </c>
      <c r="V478" s="4"/>
      <c r="W478" s="4"/>
    </row>
    <row r="479" spans="7:23" ht="15.75" thickBot="1">
      <c r="G479" s="280">
        <v>1</v>
      </c>
      <c r="H479" s="149" t="s">
        <v>77</v>
      </c>
      <c r="I479" s="144">
        <v>8018</v>
      </c>
      <c r="J479" s="62">
        <v>60</v>
      </c>
      <c r="K479" s="62">
        <v>60</v>
      </c>
      <c r="L479" s="278" t="s">
        <v>221</v>
      </c>
      <c r="M479" s="13">
        <f>+G479*J479</f>
        <v>60</v>
      </c>
      <c r="O479" s="80">
        <v>10</v>
      </c>
      <c r="P479" s="150">
        <v>6</v>
      </c>
      <c r="Q479" s="102">
        <f t="shared" si="28"/>
        <v>60</v>
      </c>
      <c r="S479" s="4"/>
      <c r="T479" s="4"/>
      <c r="U479" s="20"/>
      <c r="V479" s="4"/>
      <c r="W479" s="4"/>
    </row>
    <row r="480" spans="7:23">
      <c r="G480" s="704">
        <v>8</v>
      </c>
      <c r="H480" s="702" t="s">
        <v>79</v>
      </c>
      <c r="I480" s="704">
        <v>8023</v>
      </c>
      <c r="J480" s="704" t="s">
        <v>219</v>
      </c>
      <c r="K480" s="704" t="s">
        <v>220</v>
      </c>
      <c r="L480" s="686" t="s">
        <v>221</v>
      </c>
      <c r="M480" s="686">
        <v>264</v>
      </c>
      <c r="O480" s="252">
        <v>12</v>
      </c>
      <c r="P480" s="122">
        <v>5</v>
      </c>
      <c r="Q480" s="253">
        <f t="shared" si="28"/>
        <v>60</v>
      </c>
      <c r="S480" s="4">
        <v>0</v>
      </c>
      <c r="T480" s="4">
        <v>0</v>
      </c>
      <c r="U480" s="20">
        <f t="shared" ref="U480:U507" si="32">S480*T480</f>
        <v>0</v>
      </c>
      <c r="V480" s="4"/>
      <c r="W480" s="4"/>
    </row>
    <row r="481" spans="7:23">
      <c r="G481" s="704"/>
      <c r="H481" s="702"/>
      <c r="I481" s="704"/>
      <c r="J481" s="704"/>
      <c r="K481" s="704"/>
      <c r="L481" s="686"/>
      <c r="M481" s="686"/>
      <c r="O481" s="42">
        <v>12</v>
      </c>
      <c r="P481" s="95">
        <v>6</v>
      </c>
      <c r="Q481" s="96">
        <f t="shared" si="28"/>
        <v>72</v>
      </c>
      <c r="S481" s="4">
        <v>0</v>
      </c>
      <c r="T481" s="4">
        <v>0</v>
      </c>
      <c r="U481" s="20">
        <f t="shared" si="32"/>
        <v>0</v>
      </c>
      <c r="V481" s="4"/>
      <c r="W481" s="4"/>
    </row>
    <row r="482" spans="7:23">
      <c r="G482" s="704"/>
      <c r="H482" s="702"/>
      <c r="I482" s="704"/>
      <c r="J482" s="704"/>
      <c r="K482" s="704"/>
      <c r="L482" s="686"/>
      <c r="M482" s="686"/>
      <c r="O482" s="42">
        <v>12</v>
      </c>
      <c r="P482" s="95">
        <v>5</v>
      </c>
      <c r="Q482" s="96">
        <f t="shared" si="28"/>
        <v>60</v>
      </c>
      <c r="S482" s="4">
        <v>0</v>
      </c>
      <c r="T482" s="4">
        <v>0</v>
      </c>
      <c r="U482" s="20">
        <f t="shared" si="32"/>
        <v>0</v>
      </c>
      <c r="V482" s="4"/>
      <c r="W482" s="4"/>
    </row>
    <row r="483" spans="7:23" ht="15.75" thickBot="1">
      <c r="G483" s="734"/>
      <c r="H483" s="736"/>
      <c r="I483" s="734"/>
      <c r="J483" s="734"/>
      <c r="K483" s="734"/>
      <c r="L483" s="688"/>
      <c r="M483" s="687"/>
      <c r="O483" s="13">
        <v>12</v>
      </c>
      <c r="P483" s="99">
        <v>6</v>
      </c>
      <c r="Q483" s="78">
        <f t="shared" si="28"/>
        <v>72</v>
      </c>
      <c r="S483" s="4">
        <v>0</v>
      </c>
      <c r="T483" s="4">
        <v>0</v>
      </c>
      <c r="U483" s="20">
        <f t="shared" si="32"/>
        <v>0</v>
      </c>
      <c r="V483" s="4"/>
      <c r="W483" s="4"/>
    </row>
    <row r="484" spans="7:23">
      <c r="G484" s="733">
        <v>1</v>
      </c>
      <c r="H484" s="735" t="s">
        <v>80</v>
      </c>
      <c r="I484" s="733">
        <v>8012</v>
      </c>
      <c r="J484" s="733" t="s">
        <v>219</v>
      </c>
      <c r="K484" s="733" t="s">
        <v>220</v>
      </c>
      <c r="L484" s="737" t="s">
        <v>221</v>
      </c>
      <c r="M484" s="685">
        <v>264</v>
      </c>
      <c r="O484" s="252">
        <v>12</v>
      </c>
      <c r="P484" s="122">
        <v>5</v>
      </c>
      <c r="Q484" s="253">
        <f t="shared" si="28"/>
        <v>60</v>
      </c>
      <c r="S484" s="4">
        <v>0</v>
      </c>
      <c r="T484" s="4">
        <v>0</v>
      </c>
      <c r="U484" s="20">
        <f t="shared" si="32"/>
        <v>0</v>
      </c>
      <c r="V484" s="4"/>
      <c r="W484" s="4"/>
    </row>
    <row r="485" spans="7:23">
      <c r="G485" s="704"/>
      <c r="H485" s="702"/>
      <c r="I485" s="704"/>
      <c r="J485" s="704"/>
      <c r="K485" s="704"/>
      <c r="L485" s="686"/>
      <c r="M485" s="686"/>
      <c r="O485" s="42">
        <v>12</v>
      </c>
      <c r="P485" s="95">
        <v>6</v>
      </c>
      <c r="Q485" s="96">
        <f t="shared" si="28"/>
        <v>72</v>
      </c>
      <c r="S485" s="4">
        <v>0</v>
      </c>
      <c r="T485" s="4">
        <v>0</v>
      </c>
      <c r="U485" s="20">
        <f t="shared" si="32"/>
        <v>0</v>
      </c>
      <c r="V485" s="4"/>
      <c r="W485" s="4"/>
    </row>
    <row r="486" spans="7:23">
      <c r="G486" s="704"/>
      <c r="H486" s="702"/>
      <c r="I486" s="704"/>
      <c r="J486" s="704"/>
      <c r="K486" s="704"/>
      <c r="L486" s="686"/>
      <c r="M486" s="686"/>
      <c r="O486" s="42">
        <v>12</v>
      </c>
      <c r="P486" s="95">
        <v>5</v>
      </c>
      <c r="Q486" s="96">
        <f t="shared" si="28"/>
        <v>60</v>
      </c>
      <c r="S486" s="4">
        <v>0</v>
      </c>
      <c r="T486" s="4">
        <v>0</v>
      </c>
      <c r="U486" s="20">
        <f t="shared" si="32"/>
        <v>0</v>
      </c>
      <c r="V486" s="4"/>
      <c r="W486" s="4"/>
    </row>
    <row r="487" spans="7:23" ht="15.75" thickBot="1">
      <c r="G487" s="734"/>
      <c r="H487" s="736"/>
      <c r="I487" s="734"/>
      <c r="J487" s="734"/>
      <c r="K487" s="734"/>
      <c r="L487" s="688"/>
      <c r="M487" s="687"/>
      <c r="O487" s="13">
        <v>12</v>
      </c>
      <c r="P487" s="99">
        <v>6</v>
      </c>
      <c r="Q487" s="78">
        <f t="shared" si="28"/>
        <v>72</v>
      </c>
      <c r="S487" s="4">
        <v>0</v>
      </c>
      <c r="T487" s="4">
        <v>0</v>
      </c>
      <c r="U487" s="20">
        <f t="shared" si="32"/>
        <v>0</v>
      </c>
      <c r="V487" s="4"/>
      <c r="W487" s="4"/>
    </row>
    <row r="488" spans="7:23">
      <c r="G488" s="733">
        <v>3</v>
      </c>
      <c r="H488" s="735" t="s">
        <v>81</v>
      </c>
      <c r="I488" s="733">
        <v>8004</v>
      </c>
      <c r="J488" s="733" t="s">
        <v>219</v>
      </c>
      <c r="K488" s="733" t="s">
        <v>220</v>
      </c>
      <c r="L488" s="737" t="s">
        <v>221</v>
      </c>
      <c r="M488" s="685">
        <v>264</v>
      </c>
      <c r="O488" s="252">
        <v>12</v>
      </c>
      <c r="P488" s="122">
        <v>5</v>
      </c>
      <c r="Q488" s="253">
        <f t="shared" si="28"/>
        <v>60</v>
      </c>
      <c r="R488" s="74"/>
      <c r="S488" s="4">
        <v>0</v>
      </c>
      <c r="T488" s="4">
        <v>0</v>
      </c>
      <c r="U488" s="20">
        <f t="shared" si="32"/>
        <v>0</v>
      </c>
      <c r="V488" s="4"/>
      <c r="W488" s="4"/>
    </row>
    <row r="489" spans="7:23">
      <c r="G489" s="704"/>
      <c r="H489" s="702"/>
      <c r="I489" s="704"/>
      <c r="J489" s="704"/>
      <c r="K489" s="704"/>
      <c r="L489" s="686"/>
      <c r="M489" s="686"/>
      <c r="O489" s="42">
        <v>12</v>
      </c>
      <c r="P489" s="95">
        <v>6</v>
      </c>
      <c r="Q489" s="96">
        <f t="shared" si="28"/>
        <v>72</v>
      </c>
      <c r="S489" s="4">
        <v>0</v>
      </c>
      <c r="T489" s="4">
        <v>0</v>
      </c>
      <c r="U489" s="20">
        <f t="shared" si="32"/>
        <v>0</v>
      </c>
      <c r="V489" s="4"/>
      <c r="W489" s="4"/>
    </row>
    <row r="490" spans="7:23">
      <c r="G490" s="704"/>
      <c r="H490" s="702"/>
      <c r="I490" s="704"/>
      <c r="J490" s="704"/>
      <c r="K490" s="704"/>
      <c r="L490" s="686"/>
      <c r="M490" s="686"/>
      <c r="O490" s="42">
        <v>12</v>
      </c>
      <c r="P490" s="95">
        <v>5</v>
      </c>
      <c r="Q490" s="96">
        <f t="shared" ref="Q490:Q519" si="33">O490*P490</f>
        <v>60</v>
      </c>
      <c r="S490" s="4">
        <v>0</v>
      </c>
      <c r="T490" s="4">
        <v>0</v>
      </c>
      <c r="U490" s="20">
        <f t="shared" si="32"/>
        <v>0</v>
      </c>
      <c r="V490" s="4"/>
      <c r="W490" s="4"/>
    </row>
    <row r="491" spans="7:23" ht="15.75" thickBot="1">
      <c r="G491" s="734"/>
      <c r="H491" s="736"/>
      <c r="I491" s="734"/>
      <c r="J491" s="734"/>
      <c r="K491" s="734"/>
      <c r="L491" s="688"/>
      <c r="M491" s="687"/>
      <c r="O491" s="13">
        <v>12</v>
      </c>
      <c r="P491" s="99">
        <v>6</v>
      </c>
      <c r="Q491" s="78">
        <f t="shared" si="33"/>
        <v>72</v>
      </c>
      <c r="S491" s="4">
        <v>0</v>
      </c>
      <c r="T491" s="4">
        <v>0</v>
      </c>
      <c r="U491" s="20">
        <f t="shared" si="32"/>
        <v>0</v>
      </c>
      <c r="V491" s="4"/>
      <c r="W491" s="4"/>
    </row>
    <row r="492" spans="7:23">
      <c r="G492" s="733">
        <v>13</v>
      </c>
      <c r="H492" s="735" t="s">
        <v>82</v>
      </c>
      <c r="I492" s="733">
        <v>8003</v>
      </c>
      <c r="J492" s="733" t="s">
        <v>219</v>
      </c>
      <c r="K492" s="733" t="s">
        <v>220</v>
      </c>
      <c r="L492" s="737" t="s">
        <v>221</v>
      </c>
      <c r="M492" s="685">
        <v>264</v>
      </c>
      <c r="O492" s="252">
        <v>12</v>
      </c>
      <c r="P492" s="122">
        <v>5</v>
      </c>
      <c r="Q492" s="253">
        <f t="shared" si="33"/>
        <v>60</v>
      </c>
      <c r="S492" s="4">
        <v>0</v>
      </c>
      <c r="T492" s="4">
        <v>0</v>
      </c>
      <c r="U492" s="20">
        <f t="shared" si="32"/>
        <v>0</v>
      </c>
      <c r="V492" s="4"/>
      <c r="W492" s="4"/>
    </row>
    <row r="493" spans="7:23">
      <c r="G493" s="704"/>
      <c r="H493" s="702"/>
      <c r="I493" s="704"/>
      <c r="J493" s="704"/>
      <c r="K493" s="704"/>
      <c r="L493" s="686"/>
      <c r="M493" s="686"/>
      <c r="O493" s="42">
        <v>12</v>
      </c>
      <c r="P493" s="95">
        <v>6</v>
      </c>
      <c r="Q493" s="96">
        <f t="shared" si="33"/>
        <v>72</v>
      </c>
      <c r="S493" s="4">
        <v>0</v>
      </c>
      <c r="T493" s="4">
        <v>0</v>
      </c>
      <c r="U493" s="20">
        <f t="shared" si="32"/>
        <v>0</v>
      </c>
      <c r="V493" s="4"/>
      <c r="W493" s="4"/>
    </row>
    <row r="494" spans="7:23">
      <c r="G494" s="704"/>
      <c r="H494" s="702"/>
      <c r="I494" s="704"/>
      <c r="J494" s="704"/>
      <c r="K494" s="704"/>
      <c r="L494" s="686"/>
      <c r="M494" s="686"/>
      <c r="O494" s="42">
        <v>12</v>
      </c>
      <c r="P494" s="95">
        <v>5</v>
      </c>
      <c r="Q494" s="96">
        <f t="shared" si="33"/>
        <v>60</v>
      </c>
      <c r="S494" s="4">
        <v>0</v>
      </c>
      <c r="T494" s="4">
        <v>0</v>
      </c>
      <c r="U494" s="20">
        <f t="shared" si="32"/>
        <v>0</v>
      </c>
      <c r="V494" s="4"/>
      <c r="W494" s="4"/>
    </row>
    <row r="495" spans="7:23" ht="15.75" thickBot="1">
      <c r="G495" s="734"/>
      <c r="H495" s="736"/>
      <c r="I495" s="734"/>
      <c r="J495" s="734"/>
      <c r="K495" s="734"/>
      <c r="L495" s="688"/>
      <c r="M495" s="688"/>
      <c r="O495" s="13">
        <v>12</v>
      </c>
      <c r="P495" s="99">
        <v>6</v>
      </c>
      <c r="Q495" s="78">
        <f t="shared" si="33"/>
        <v>72</v>
      </c>
      <c r="S495" s="4">
        <v>0</v>
      </c>
      <c r="T495" s="4">
        <v>0</v>
      </c>
      <c r="U495" s="20">
        <f t="shared" si="32"/>
        <v>0</v>
      </c>
      <c r="V495" s="4"/>
      <c r="W495" s="4"/>
    </row>
    <row r="496" spans="7:23">
      <c r="G496" s="743">
        <v>2</v>
      </c>
      <c r="H496" s="741" t="s">
        <v>83</v>
      </c>
      <c r="I496" s="743">
        <v>8005</v>
      </c>
      <c r="J496" s="743" t="s">
        <v>219</v>
      </c>
      <c r="K496" s="743" t="s">
        <v>220</v>
      </c>
      <c r="L496" s="745" t="s">
        <v>221</v>
      </c>
      <c r="M496" s="685">
        <v>264</v>
      </c>
      <c r="O496" s="252">
        <v>12</v>
      </c>
      <c r="P496" s="122">
        <v>5</v>
      </c>
      <c r="Q496" s="253">
        <f t="shared" si="33"/>
        <v>60</v>
      </c>
      <c r="R496" s="10"/>
      <c r="S496" s="4">
        <v>0</v>
      </c>
      <c r="T496" s="4">
        <v>0</v>
      </c>
      <c r="U496" s="20">
        <f t="shared" si="32"/>
        <v>0</v>
      </c>
      <c r="V496" s="4"/>
      <c r="W496" s="4"/>
    </row>
    <row r="497" spans="7:23">
      <c r="G497" s="743"/>
      <c r="H497" s="741"/>
      <c r="I497" s="743"/>
      <c r="J497" s="743"/>
      <c r="K497" s="743"/>
      <c r="L497" s="745"/>
      <c r="M497" s="686"/>
      <c r="O497" s="42">
        <v>12</v>
      </c>
      <c r="P497" s="95">
        <v>6</v>
      </c>
      <c r="Q497" s="96">
        <f t="shared" si="33"/>
        <v>72</v>
      </c>
      <c r="S497" s="4">
        <v>0</v>
      </c>
      <c r="T497" s="4">
        <v>0</v>
      </c>
      <c r="U497" s="20">
        <f t="shared" si="32"/>
        <v>0</v>
      </c>
      <c r="V497" s="4"/>
      <c r="W497" s="4"/>
    </row>
    <row r="498" spans="7:23">
      <c r="G498" s="743"/>
      <c r="H498" s="741"/>
      <c r="I498" s="743"/>
      <c r="J498" s="743"/>
      <c r="K498" s="743"/>
      <c r="L498" s="745"/>
      <c r="M498" s="686"/>
      <c r="O498" s="42">
        <v>12</v>
      </c>
      <c r="P498" s="95">
        <v>5</v>
      </c>
      <c r="Q498" s="96">
        <f t="shared" si="33"/>
        <v>60</v>
      </c>
      <c r="S498" s="4">
        <v>0</v>
      </c>
      <c r="T498" s="4">
        <v>0</v>
      </c>
      <c r="U498" s="20">
        <f t="shared" si="32"/>
        <v>0</v>
      </c>
      <c r="V498" s="4"/>
      <c r="W498" s="4"/>
    </row>
    <row r="499" spans="7:23" ht="15.75" thickBot="1">
      <c r="G499" s="743"/>
      <c r="H499" s="741"/>
      <c r="I499" s="743"/>
      <c r="J499" s="743"/>
      <c r="K499" s="743"/>
      <c r="L499" s="745"/>
      <c r="M499" s="688"/>
      <c r="O499" s="13">
        <v>12</v>
      </c>
      <c r="P499" s="99">
        <v>6</v>
      </c>
      <c r="Q499" s="78">
        <f t="shared" si="33"/>
        <v>72</v>
      </c>
      <c r="S499" s="4">
        <v>0</v>
      </c>
      <c r="T499" s="4">
        <v>0</v>
      </c>
      <c r="U499" s="20">
        <f t="shared" si="32"/>
        <v>0</v>
      </c>
      <c r="V499" s="4"/>
      <c r="W499" s="4"/>
    </row>
    <row r="500" spans="7:23">
      <c r="G500" s="743">
        <v>8</v>
      </c>
      <c r="H500" s="741" t="s">
        <v>84</v>
      </c>
      <c r="I500" s="743">
        <v>8010</v>
      </c>
      <c r="J500" s="743" t="s">
        <v>219</v>
      </c>
      <c r="K500" s="743" t="s">
        <v>220</v>
      </c>
      <c r="L500" s="745" t="s">
        <v>221</v>
      </c>
      <c r="M500" s="685">
        <v>264</v>
      </c>
      <c r="O500" s="252">
        <v>12</v>
      </c>
      <c r="P500" s="122">
        <v>5</v>
      </c>
      <c r="Q500" s="253">
        <f t="shared" si="33"/>
        <v>60</v>
      </c>
      <c r="R500" s="10"/>
      <c r="S500" s="4">
        <v>0</v>
      </c>
      <c r="T500" s="4">
        <v>0</v>
      </c>
      <c r="U500" s="20">
        <f t="shared" si="32"/>
        <v>0</v>
      </c>
      <c r="V500" s="4"/>
      <c r="W500" s="4"/>
    </row>
    <row r="501" spans="7:23">
      <c r="G501" s="743"/>
      <c r="H501" s="741"/>
      <c r="I501" s="743"/>
      <c r="J501" s="743"/>
      <c r="K501" s="743"/>
      <c r="L501" s="745"/>
      <c r="M501" s="686"/>
      <c r="O501" s="42">
        <v>12</v>
      </c>
      <c r="P501" s="95">
        <v>6</v>
      </c>
      <c r="Q501" s="96">
        <f t="shared" si="33"/>
        <v>72</v>
      </c>
      <c r="S501" s="4">
        <v>0</v>
      </c>
      <c r="T501" s="4">
        <v>0</v>
      </c>
      <c r="U501" s="20">
        <f t="shared" si="32"/>
        <v>0</v>
      </c>
      <c r="V501" s="4"/>
      <c r="W501" s="4"/>
    </row>
    <row r="502" spans="7:23">
      <c r="G502" s="743"/>
      <c r="H502" s="741"/>
      <c r="I502" s="743"/>
      <c r="J502" s="743"/>
      <c r="K502" s="743"/>
      <c r="L502" s="745"/>
      <c r="M502" s="686"/>
      <c r="O502" s="42">
        <v>12</v>
      </c>
      <c r="P502" s="95">
        <v>5</v>
      </c>
      <c r="Q502" s="96">
        <f t="shared" si="33"/>
        <v>60</v>
      </c>
      <c r="S502" s="4">
        <v>0</v>
      </c>
      <c r="T502" s="4">
        <v>0</v>
      </c>
      <c r="U502" s="20">
        <f t="shared" si="32"/>
        <v>0</v>
      </c>
      <c r="V502" s="4"/>
      <c r="W502" s="4"/>
    </row>
    <row r="503" spans="7:23" ht="15.75" thickBot="1">
      <c r="G503" s="743"/>
      <c r="H503" s="741"/>
      <c r="I503" s="743"/>
      <c r="J503" s="743"/>
      <c r="K503" s="743"/>
      <c r="L503" s="745"/>
      <c r="M503" s="688"/>
      <c r="O503" s="13">
        <v>12</v>
      </c>
      <c r="P503" s="99">
        <v>6</v>
      </c>
      <c r="Q503" s="78">
        <f t="shared" si="33"/>
        <v>72</v>
      </c>
      <c r="S503" s="4">
        <v>0</v>
      </c>
      <c r="T503" s="4">
        <v>0</v>
      </c>
      <c r="U503" s="20">
        <f t="shared" si="32"/>
        <v>0</v>
      </c>
      <c r="V503" s="4"/>
      <c r="W503" s="4"/>
    </row>
    <row r="504" spans="7:23">
      <c r="G504" s="743">
        <v>4</v>
      </c>
      <c r="H504" s="741" t="s">
        <v>86</v>
      </c>
      <c r="I504" s="743">
        <v>8013</v>
      </c>
      <c r="J504" s="743" t="s">
        <v>219</v>
      </c>
      <c r="K504" s="743" t="s">
        <v>220</v>
      </c>
      <c r="L504" s="745" t="s">
        <v>221</v>
      </c>
      <c r="M504" s="685">
        <v>264</v>
      </c>
      <c r="O504" s="252">
        <v>12</v>
      </c>
      <c r="P504" s="122">
        <v>5</v>
      </c>
      <c r="Q504" s="253">
        <f t="shared" si="33"/>
        <v>60</v>
      </c>
      <c r="R504" s="10"/>
      <c r="S504" s="4">
        <v>0</v>
      </c>
      <c r="T504" s="4">
        <v>0</v>
      </c>
      <c r="U504" s="20">
        <f t="shared" si="32"/>
        <v>0</v>
      </c>
      <c r="V504" s="4"/>
      <c r="W504" s="4"/>
    </row>
    <row r="505" spans="7:23">
      <c r="G505" s="743"/>
      <c r="H505" s="741"/>
      <c r="I505" s="743"/>
      <c r="J505" s="743"/>
      <c r="K505" s="743"/>
      <c r="L505" s="745"/>
      <c r="M505" s="686"/>
      <c r="O505" s="42">
        <v>12</v>
      </c>
      <c r="P505" s="95">
        <v>6</v>
      </c>
      <c r="Q505" s="96">
        <f t="shared" si="33"/>
        <v>72</v>
      </c>
      <c r="S505" s="4">
        <v>0</v>
      </c>
      <c r="T505" s="4">
        <v>0</v>
      </c>
      <c r="U505" s="20">
        <f t="shared" si="32"/>
        <v>0</v>
      </c>
      <c r="V505" s="4"/>
      <c r="W505" s="4"/>
    </row>
    <row r="506" spans="7:23">
      <c r="G506" s="743"/>
      <c r="H506" s="741"/>
      <c r="I506" s="743"/>
      <c r="J506" s="743"/>
      <c r="K506" s="743"/>
      <c r="L506" s="745"/>
      <c r="M506" s="686"/>
      <c r="O506" s="42">
        <v>12</v>
      </c>
      <c r="P506" s="95">
        <v>5</v>
      </c>
      <c r="Q506" s="96">
        <f t="shared" si="33"/>
        <v>60</v>
      </c>
      <c r="S506" s="4">
        <v>0</v>
      </c>
      <c r="T506" s="4">
        <v>0</v>
      </c>
      <c r="U506" s="20">
        <f t="shared" si="32"/>
        <v>0</v>
      </c>
      <c r="V506" s="4"/>
      <c r="W506" s="4"/>
    </row>
    <row r="507" spans="7:23" ht="15.75" thickBot="1">
      <c r="G507" s="743"/>
      <c r="H507" s="741"/>
      <c r="I507" s="743"/>
      <c r="J507" s="743"/>
      <c r="K507" s="743"/>
      <c r="L507" s="745"/>
      <c r="M507" s="688"/>
      <c r="O507" s="13">
        <v>12</v>
      </c>
      <c r="P507" s="99">
        <v>6</v>
      </c>
      <c r="Q507" s="78">
        <f t="shared" si="33"/>
        <v>72</v>
      </c>
      <c r="S507" s="4">
        <v>0</v>
      </c>
      <c r="T507" s="4">
        <v>0</v>
      </c>
      <c r="U507" s="20">
        <f t="shared" si="32"/>
        <v>0</v>
      </c>
      <c r="V507" s="4"/>
      <c r="W507" s="4"/>
    </row>
    <row r="508" spans="7:23" ht="15.75" thickBot="1">
      <c r="G508" s="306">
        <v>1</v>
      </c>
      <c r="H508" s="307" t="s">
        <v>86</v>
      </c>
      <c r="I508" s="308">
        <v>8013</v>
      </c>
      <c r="J508" s="308">
        <v>72</v>
      </c>
      <c r="K508" s="308" t="s">
        <v>348</v>
      </c>
      <c r="L508" s="309" t="s">
        <v>221</v>
      </c>
      <c r="M508" s="222">
        <f>+G508*J508</f>
        <v>72</v>
      </c>
      <c r="O508" s="59">
        <v>12</v>
      </c>
      <c r="P508" s="303">
        <v>6</v>
      </c>
      <c r="Q508" s="310">
        <f t="shared" si="33"/>
        <v>72</v>
      </c>
      <c r="S508" s="4">
        <v>0</v>
      </c>
      <c r="T508" s="4">
        <v>0</v>
      </c>
      <c r="U508" s="20">
        <v>0</v>
      </c>
      <c r="V508" s="4"/>
      <c r="W508" s="4"/>
    </row>
    <row r="509" spans="7:23" ht="15.75" thickBot="1">
      <c r="G509" s="191">
        <v>2</v>
      </c>
      <c r="H509" s="152" t="s">
        <v>88</v>
      </c>
      <c r="I509" s="146">
        <v>8015</v>
      </c>
      <c r="J509" s="43">
        <v>60</v>
      </c>
      <c r="K509" s="43" t="s">
        <v>220</v>
      </c>
      <c r="L509" s="31" t="s">
        <v>221</v>
      </c>
      <c r="M509" s="31">
        <f>+J509</f>
        <v>60</v>
      </c>
      <c r="O509" s="299">
        <v>12</v>
      </c>
      <c r="P509" s="299">
        <v>5</v>
      </c>
      <c r="Q509" s="300">
        <f t="shared" si="33"/>
        <v>60</v>
      </c>
      <c r="R509" s="10"/>
      <c r="S509" s="4">
        <v>0</v>
      </c>
      <c r="T509" s="4">
        <v>0</v>
      </c>
      <c r="U509" s="20">
        <f t="shared" ref="U509" si="34">S509*T509</f>
        <v>0</v>
      </c>
      <c r="V509" s="4"/>
      <c r="W509" s="4"/>
    </row>
    <row r="510" spans="7:23">
      <c r="G510" s="779">
        <v>1</v>
      </c>
      <c r="H510" s="735" t="s">
        <v>88</v>
      </c>
      <c r="I510" s="733">
        <v>8015</v>
      </c>
      <c r="J510" s="733" t="s">
        <v>219</v>
      </c>
      <c r="K510" s="733" t="s">
        <v>220</v>
      </c>
      <c r="L510" s="737" t="s">
        <v>221</v>
      </c>
      <c r="M510" s="685">
        <v>264</v>
      </c>
      <c r="O510" s="252">
        <v>12</v>
      </c>
      <c r="P510" s="122">
        <v>5</v>
      </c>
      <c r="Q510" s="253">
        <f t="shared" si="33"/>
        <v>60</v>
      </c>
      <c r="R510" s="10"/>
      <c r="S510" s="4"/>
      <c r="T510" s="4"/>
      <c r="U510" s="20"/>
      <c r="V510" s="4"/>
      <c r="W510" s="4"/>
    </row>
    <row r="511" spans="7:23">
      <c r="G511" s="721"/>
      <c r="H511" s="702"/>
      <c r="I511" s="704"/>
      <c r="J511" s="704"/>
      <c r="K511" s="704"/>
      <c r="L511" s="686"/>
      <c r="M511" s="686"/>
      <c r="O511" s="42">
        <v>12</v>
      </c>
      <c r="P511" s="95">
        <v>6</v>
      </c>
      <c r="Q511" s="96">
        <f t="shared" si="33"/>
        <v>72</v>
      </c>
      <c r="R511" s="10"/>
      <c r="S511" s="4"/>
      <c r="T511" s="4"/>
      <c r="U511" s="20"/>
      <c r="V511" s="4"/>
      <c r="W511" s="4"/>
    </row>
    <row r="512" spans="7:23">
      <c r="G512" s="721"/>
      <c r="H512" s="702"/>
      <c r="I512" s="704"/>
      <c r="J512" s="704"/>
      <c r="K512" s="704"/>
      <c r="L512" s="686"/>
      <c r="M512" s="686"/>
      <c r="O512" s="42">
        <v>12</v>
      </c>
      <c r="P512" s="95">
        <v>5</v>
      </c>
      <c r="Q512" s="96">
        <f t="shared" si="33"/>
        <v>60</v>
      </c>
      <c r="R512" s="10"/>
      <c r="S512" s="4"/>
      <c r="T512" s="4"/>
      <c r="U512" s="20"/>
      <c r="V512" s="4"/>
      <c r="W512" s="4"/>
    </row>
    <row r="513" spans="7:23" ht="15.75" thickBot="1">
      <c r="G513" s="763"/>
      <c r="H513" s="736"/>
      <c r="I513" s="734"/>
      <c r="J513" s="734"/>
      <c r="K513" s="734"/>
      <c r="L513" s="688"/>
      <c r="M513" s="687"/>
      <c r="O513" s="13">
        <v>12</v>
      </c>
      <c r="P513" s="99">
        <v>6</v>
      </c>
      <c r="Q513" s="78">
        <f t="shared" si="33"/>
        <v>72</v>
      </c>
      <c r="R513" s="10"/>
      <c r="S513" s="4"/>
      <c r="T513" s="4"/>
      <c r="U513" s="20"/>
      <c r="V513" s="4"/>
      <c r="W513" s="4"/>
    </row>
    <row r="514" spans="7:23" ht="15.75" thickBot="1">
      <c r="G514" s="280">
        <v>1</v>
      </c>
      <c r="H514" s="151" t="s">
        <v>88</v>
      </c>
      <c r="I514" s="145">
        <v>8015</v>
      </c>
      <c r="J514" s="145">
        <v>50</v>
      </c>
      <c r="K514" s="145" t="s">
        <v>220</v>
      </c>
      <c r="L514" s="80" t="s">
        <v>221</v>
      </c>
      <c r="M514" s="80">
        <f>+G514*J514</f>
        <v>50</v>
      </c>
      <c r="O514" s="240">
        <v>10</v>
      </c>
      <c r="P514" s="7">
        <v>5</v>
      </c>
      <c r="Q514" s="79">
        <f t="shared" si="33"/>
        <v>50</v>
      </c>
      <c r="R514" s="10"/>
      <c r="S514" s="4">
        <v>0</v>
      </c>
      <c r="T514" s="4">
        <v>0</v>
      </c>
      <c r="U514" s="20">
        <f t="shared" ref="U514:U558" si="35">S514*T514</f>
        <v>0</v>
      </c>
      <c r="V514" s="4"/>
      <c r="W514" s="4"/>
    </row>
    <row r="515" spans="7:23">
      <c r="G515" s="738">
        <v>2</v>
      </c>
      <c r="H515" s="740" t="s">
        <v>90</v>
      </c>
      <c r="I515" s="742">
        <v>8006</v>
      </c>
      <c r="J515" s="742" t="s">
        <v>219</v>
      </c>
      <c r="K515" s="742" t="s">
        <v>220</v>
      </c>
      <c r="L515" s="744" t="s">
        <v>221</v>
      </c>
      <c r="M515" s="744">
        <v>264</v>
      </c>
      <c r="O515" s="252">
        <v>12</v>
      </c>
      <c r="P515" s="122">
        <v>5</v>
      </c>
      <c r="Q515" s="253">
        <f t="shared" si="33"/>
        <v>60</v>
      </c>
      <c r="R515" s="10"/>
      <c r="S515" s="4">
        <v>0</v>
      </c>
      <c r="T515" s="4">
        <v>0</v>
      </c>
      <c r="U515" s="20">
        <f t="shared" si="35"/>
        <v>0</v>
      </c>
      <c r="V515" s="4"/>
      <c r="W515" s="4"/>
    </row>
    <row r="516" spans="7:23">
      <c r="G516" s="739"/>
      <c r="H516" s="741"/>
      <c r="I516" s="743"/>
      <c r="J516" s="743"/>
      <c r="K516" s="743"/>
      <c r="L516" s="745"/>
      <c r="M516" s="745"/>
      <c r="O516" s="42">
        <v>12</v>
      </c>
      <c r="P516" s="95">
        <v>6</v>
      </c>
      <c r="Q516" s="96">
        <f t="shared" si="33"/>
        <v>72</v>
      </c>
      <c r="S516" s="4">
        <v>0</v>
      </c>
      <c r="T516" s="4">
        <v>0</v>
      </c>
      <c r="U516" s="20">
        <f t="shared" si="35"/>
        <v>0</v>
      </c>
      <c r="V516" s="4"/>
      <c r="W516" s="4"/>
    </row>
    <row r="517" spans="7:23">
      <c r="G517" s="739"/>
      <c r="H517" s="741"/>
      <c r="I517" s="743"/>
      <c r="J517" s="743"/>
      <c r="K517" s="743"/>
      <c r="L517" s="745"/>
      <c r="M517" s="745"/>
      <c r="O517" s="42">
        <v>12</v>
      </c>
      <c r="P517" s="95">
        <v>5</v>
      </c>
      <c r="Q517" s="96">
        <f t="shared" si="33"/>
        <v>60</v>
      </c>
      <c r="S517" s="4">
        <v>0</v>
      </c>
      <c r="T517" s="4">
        <v>0</v>
      </c>
      <c r="U517" s="20">
        <f t="shared" si="35"/>
        <v>0</v>
      </c>
      <c r="V517" s="4"/>
      <c r="W517" s="4"/>
    </row>
    <row r="518" spans="7:23" ht="15.75" thickBot="1">
      <c r="G518" s="739"/>
      <c r="H518" s="741"/>
      <c r="I518" s="743"/>
      <c r="J518" s="743"/>
      <c r="K518" s="743"/>
      <c r="L518" s="745"/>
      <c r="M518" s="745"/>
      <c r="O518" s="13">
        <v>12</v>
      </c>
      <c r="P518" s="99">
        <v>6</v>
      </c>
      <c r="Q518" s="78">
        <f t="shared" si="33"/>
        <v>72</v>
      </c>
      <c r="S518" s="4">
        <v>0</v>
      </c>
      <c r="T518" s="4">
        <v>0</v>
      </c>
      <c r="U518" s="20">
        <f t="shared" si="35"/>
        <v>0</v>
      </c>
      <c r="V518" s="4"/>
      <c r="W518" s="4"/>
    </row>
    <row r="519" spans="7:23" ht="15.75" thickBot="1">
      <c r="G519" s="62">
        <v>1</v>
      </c>
      <c r="H519" s="149" t="s">
        <v>90</v>
      </c>
      <c r="I519" s="144">
        <v>8006</v>
      </c>
      <c r="J519" s="62">
        <v>48</v>
      </c>
      <c r="K519" s="62" t="s">
        <v>220</v>
      </c>
      <c r="L519" s="59" t="s">
        <v>221</v>
      </c>
      <c r="M519" s="59">
        <f>+G519*J519</f>
        <v>48</v>
      </c>
      <c r="O519" s="4">
        <v>8</v>
      </c>
      <c r="P519" s="4">
        <v>6</v>
      </c>
      <c r="Q519" s="96">
        <f t="shared" si="33"/>
        <v>48</v>
      </c>
      <c r="R519" s="10"/>
      <c r="S519" s="4">
        <v>0</v>
      </c>
      <c r="T519" s="4">
        <v>0</v>
      </c>
      <c r="U519" s="20">
        <f t="shared" si="35"/>
        <v>0</v>
      </c>
      <c r="V519" s="4"/>
      <c r="W519" s="4"/>
    </row>
    <row r="520" spans="7:23" ht="15.75" thickBot="1">
      <c r="G520" s="85">
        <v>1</v>
      </c>
      <c r="H520" s="147" t="s">
        <v>92</v>
      </c>
      <c r="I520" s="84">
        <v>8016</v>
      </c>
      <c r="J520" s="85">
        <v>72</v>
      </c>
      <c r="K520" s="85" t="s">
        <v>220</v>
      </c>
      <c r="L520" s="80" t="s">
        <v>221</v>
      </c>
      <c r="M520" s="80">
        <f>+G520*J520</f>
        <v>72</v>
      </c>
      <c r="O520" s="36">
        <v>12</v>
      </c>
      <c r="P520" s="36">
        <v>6</v>
      </c>
      <c r="Q520" s="77">
        <f>O520*P520</f>
        <v>72</v>
      </c>
      <c r="R520" s="10"/>
      <c r="S520" s="4">
        <v>0</v>
      </c>
      <c r="T520" s="4">
        <v>0</v>
      </c>
      <c r="U520" s="20">
        <f t="shared" si="35"/>
        <v>0</v>
      </c>
      <c r="V520" s="4"/>
      <c r="W520" s="4"/>
    </row>
    <row r="521" spans="7:23">
      <c r="G521" s="738">
        <v>1</v>
      </c>
      <c r="H521" s="740" t="s">
        <v>93</v>
      </c>
      <c r="I521" s="742">
        <v>8024</v>
      </c>
      <c r="J521" s="742" t="s">
        <v>219</v>
      </c>
      <c r="K521" s="742" t="s">
        <v>220</v>
      </c>
      <c r="L521" s="744" t="s">
        <v>221</v>
      </c>
      <c r="M521" s="744">
        <v>264</v>
      </c>
      <c r="O521" s="252">
        <v>12</v>
      </c>
      <c r="P521" s="122">
        <v>5</v>
      </c>
      <c r="Q521" s="253">
        <f t="shared" ref="Q521:Q528" si="36">O521*P521</f>
        <v>60</v>
      </c>
      <c r="R521" s="10"/>
      <c r="S521" s="4">
        <v>0</v>
      </c>
      <c r="T521" s="4">
        <v>0</v>
      </c>
      <c r="U521" s="20">
        <f t="shared" si="35"/>
        <v>0</v>
      </c>
      <c r="V521" s="4"/>
      <c r="W521" s="4"/>
    </row>
    <row r="522" spans="7:23">
      <c r="G522" s="739"/>
      <c r="H522" s="741"/>
      <c r="I522" s="743"/>
      <c r="J522" s="743"/>
      <c r="K522" s="743"/>
      <c r="L522" s="745"/>
      <c r="M522" s="745"/>
      <c r="O522" s="42">
        <v>12</v>
      </c>
      <c r="P522" s="95">
        <v>6</v>
      </c>
      <c r="Q522" s="96">
        <f t="shared" si="36"/>
        <v>72</v>
      </c>
      <c r="S522" s="4">
        <v>0</v>
      </c>
      <c r="T522" s="4">
        <v>0</v>
      </c>
      <c r="U522" s="20">
        <f t="shared" si="35"/>
        <v>0</v>
      </c>
      <c r="V522" s="4"/>
      <c r="W522" s="4"/>
    </row>
    <row r="523" spans="7:23">
      <c r="G523" s="739"/>
      <c r="H523" s="741"/>
      <c r="I523" s="743"/>
      <c r="J523" s="743"/>
      <c r="K523" s="743"/>
      <c r="L523" s="745"/>
      <c r="M523" s="745"/>
      <c r="O523" s="42">
        <v>12</v>
      </c>
      <c r="P523" s="95">
        <v>5</v>
      </c>
      <c r="Q523" s="96">
        <f t="shared" si="36"/>
        <v>60</v>
      </c>
      <c r="S523" s="4">
        <v>0</v>
      </c>
      <c r="T523" s="4">
        <v>0</v>
      </c>
      <c r="U523" s="20">
        <f t="shared" si="35"/>
        <v>0</v>
      </c>
      <c r="V523" s="4"/>
      <c r="W523" s="4"/>
    </row>
    <row r="524" spans="7:23" ht="15.75" thickBot="1">
      <c r="G524" s="779"/>
      <c r="H524" s="735"/>
      <c r="I524" s="733"/>
      <c r="J524" s="733"/>
      <c r="K524" s="733"/>
      <c r="L524" s="737"/>
      <c r="M524" s="737"/>
      <c r="O524" s="42">
        <v>12</v>
      </c>
      <c r="P524" s="95">
        <v>6</v>
      </c>
      <c r="Q524" s="97">
        <f t="shared" si="36"/>
        <v>72</v>
      </c>
      <c r="S524" s="4">
        <v>0</v>
      </c>
      <c r="T524" s="4">
        <v>0</v>
      </c>
      <c r="U524" s="20">
        <f t="shared" si="35"/>
        <v>0</v>
      </c>
      <c r="V524" s="4"/>
      <c r="W524" s="4"/>
    </row>
    <row r="525" spans="7:23">
      <c r="G525" s="720">
        <v>3</v>
      </c>
      <c r="H525" s="710" t="s">
        <v>237</v>
      </c>
      <c r="I525" s="711">
        <v>8013</v>
      </c>
      <c r="J525" s="711" t="s">
        <v>219</v>
      </c>
      <c r="K525" s="711" t="s">
        <v>220</v>
      </c>
      <c r="L525" s="685" t="s">
        <v>221</v>
      </c>
      <c r="M525" s="744">
        <v>264</v>
      </c>
      <c r="O525" s="252">
        <v>12</v>
      </c>
      <c r="P525" s="122">
        <v>5</v>
      </c>
      <c r="Q525" s="253">
        <f t="shared" si="36"/>
        <v>60</v>
      </c>
      <c r="R525" s="10"/>
      <c r="S525" s="4">
        <v>0</v>
      </c>
      <c r="T525" s="4">
        <v>0</v>
      </c>
      <c r="U525" s="20">
        <f t="shared" si="35"/>
        <v>0</v>
      </c>
      <c r="V525" s="4"/>
      <c r="W525" s="4"/>
    </row>
    <row r="526" spans="7:23">
      <c r="G526" s="721"/>
      <c r="H526" s="702"/>
      <c r="I526" s="704"/>
      <c r="J526" s="704"/>
      <c r="K526" s="704"/>
      <c r="L526" s="686"/>
      <c r="M526" s="745"/>
      <c r="O526" s="42">
        <v>12</v>
      </c>
      <c r="P526" s="95">
        <v>6</v>
      </c>
      <c r="Q526" s="96">
        <f t="shared" si="36"/>
        <v>72</v>
      </c>
      <c r="R526" s="10"/>
      <c r="S526" s="4">
        <v>0</v>
      </c>
      <c r="T526" s="4">
        <v>0</v>
      </c>
      <c r="U526" s="20">
        <f t="shared" si="35"/>
        <v>0</v>
      </c>
      <c r="V526" s="4"/>
      <c r="W526" s="4"/>
    </row>
    <row r="527" spans="7:23">
      <c r="G527" s="721"/>
      <c r="H527" s="702"/>
      <c r="I527" s="704"/>
      <c r="J527" s="704"/>
      <c r="K527" s="704"/>
      <c r="L527" s="686"/>
      <c r="M527" s="745"/>
      <c r="O527" s="42">
        <v>12</v>
      </c>
      <c r="P527" s="95">
        <v>5</v>
      </c>
      <c r="Q527" s="96">
        <f t="shared" si="36"/>
        <v>60</v>
      </c>
      <c r="R527" s="10"/>
      <c r="S527" s="4">
        <v>0</v>
      </c>
      <c r="T527" s="4">
        <v>0</v>
      </c>
      <c r="U527" s="20">
        <f t="shared" si="35"/>
        <v>0</v>
      </c>
      <c r="V527" s="4"/>
      <c r="W527" s="4"/>
    </row>
    <row r="528" spans="7:23" ht="15.75" thickBot="1">
      <c r="G528" s="722"/>
      <c r="H528" s="703"/>
      <c r="I528" s="705"/>
      <c r="J528" s="705"/>
      <c r="K528" s="705"/>
      <c r="L528" s="687"/>
      <c r="M528" s="737"/>
      <c r="O528" s="13">
        <v>12</v>
      </c>
      <c r="P528" s="99">
        <v>6</v>
      </c>
      <c r="Q528" s="78">
        <f t="shared" si="36"/>
        <v>72</v>
      </c>
      <c r="R528" s="10"/>
      <c r="S528" s="4">
        <v>0</v>
      </c>
      <c r="T528" s="4">
        <v>0</v>
      </c>
      <c r="U528" s="20">
        <f t="shared" si="35"/>
        <v>0</v>
      </c>
      <c r="V528" s="4"/>
      <c r="W528" s="4"/>
    </row>
    <row r="529" spans="7:23">
      <c r="G529" s="34">
        <v>2</v>
      </c>
      <c r="H529" s="153" t="s">
        <v>95</v>
      </c>
      <c r="I529" s="72">
        <v>8015</v>
      </c>
      <c r="J529" s="34">
        <v>60</v>
      </c>
      <c r="K529" s="43" t="s">
        <v>220</v>
      </c>
      <c r="L529" s="24" t="s">
        <v>221</v>
      </c>
      <c r="M529" s="42">
        <v>60</v>
      </c>
      <c r="O529" s="7">
        <v>12</v>
      </c>
      <c r="P529" s="7">
        <v>5</v>
      </c>
      <c r="Q529" s="79">
        <f>O529*P529</f>
        <v>60</v>
      </c>
      <c r="R529" s="10"/>
      <c r="S529" s="4">
        <v>0</v>
      </c>
      <c r="T529" s="4">
        <v>0</v>
      </c>
      <c r="U529" s="20">
        <f t="shared" si="35"/>
        <v>0</v>
      </c>
      <c r="V529" s="4"/>
      <c r="W529" s="4"/>
    </row>
    <row r="530" spans="7:23" ht="15.75" thickBot="1">
      <c r="G530" s="296">
        <v>1</v>
      </c>
      <c r="H530" s="154" t="s">
        <v>95</v>
      </c>
      <c r="I530" s="83">
        <v>8015</v>
      </c>
      <c r="J530" s="296">
        <v>48</v>
      </c>
      <c r="K530" s="85" t="s">
        <v>220</v>
      </c>
      <c r="L530" s="42" t="s">
        <v>221</v>
      </c>
      <c r="M530" s="42">
        <v>48</v>
      </c>
      <c r="O530" s="36">
        <v>12</v>
      </c>
      <c r="P530" s="36">
        <v>4</v>
      </c>
      <c r="Q530" s="77">
        <f>O530*P530</f>
        <v>48</v>
      </c>
      <c r="R530" s="10"/>
      <c r="S530" s="4">
        <v>0</v>
      </c>
      <c r="T530" s="4">
        <v>0</v>
      </c>
      <c r="U530" s="20">
        <f t="shared" si="35"/>
        <v>0</v>
      </c>
      <c r="V530" s="4"/>
      <c r="W530" s="4"/>
    </row>
    <row r="531" spans="7:23">
      <c r="G531" s="720">
        <v>1</v>
      </c>
      <c r="H531" s="751" t="s">
        <v>96</v>
      </c>
      <c r="I531" s="221">
        <v>8015</v>
      </c>
      <c r="J531" s="711">
        <v>65.5</v>
      </c>
      <c r="K531" s="711" t="s">
        <v>220</v>
      </c>
      <c r="L531" s="685" t="s">
        <v>221</v>
      </c>
      <c r="M531" s="685">
        <f>+J531</f>
        <v>65.5</v>
      </c>
      <c r="O531" s="252">
        <v>12</v>
      </c>
      <c r="P531" s="252">
        <v>5</v>
      </c>
      <c r="Q531" s="302">
        <f>O531*P531</f>
        <v>60</v>
      </c>
      <c r="R531" s="10"/>
      <c r="S531" s="4">
        <v>0</v>
      </c>
      <c r="T531" s="4">
        <v>0</v>
      </c>
      <c r="U531" s="20">
        <f t="shared" si="35"/>
        <v>0</v>
      </c>
      <c r="V531" s="4"/>
      <c r="W531" s="4"/>
    </row>
    <row r="532" spans="7:23" ht="15.75" thickBot="1">
      <c r="G532" s="722"/>
      <c r="H532" s="752"/>
      <c r="I532" s="62"/>
      <c r="J532" s="705"/>
      <c r="K532" s="705"/>
      <c r="L532" s="687"/>
      <c r="M532" s="687"/>
      <c r="O532" s="5">
        <v>5.5</v>
      </c>
      <c r="P532" s="5">
        <v>1</v>
      </c>
      <c r="Q532" s="78">
        <f>O532*P532</f>
        <v>5.5</v>
      </c>
      <c r="R532" s="10"/>
      <c r="S532" s="4">
        <v>0</v>
      </c>
      <c r="T532" s="4">
        <v>0</v>
      </c>
      <c r="U532" s="20">
        <f t="shared" si="35"/>
        <v>0</v>
      </c>
      <c r="V532" s="4"/>
      <c r="W532" s="4"/>
    </row>
    <row r="533" spans="7:23">
      <c r="G533" s="226">
        <v>2</v>
      </c>
      <c r="H533" s="710" t="s">
        <v>228</v>
      </c>
      <c r="I533" s="711">
        <v>8015</v>
      </c>
      <c r="J533" s="190">
        <v>60</v>
      </c>
      <c r="K533" s="711" t="s">
        <v>220</v>
      </c>
      <c r="L533" s="685" t="s">
        <v>221</v>
      </c>
      <c r="M533" s="685">
        <v>264</v>
      </c>
      <c r="O533" s="252">
        <v>12</v>
      </c>
      <c r="P533" s="124">
        <v>5</v>
      </c>
      <c r="Q533" s="253">
        <f t="shared" ref="Q533:Q558" si="37">O533*P533</f>
        <v>60</v>
      </c>
      <c r="R533" s="10"/>
      <c r="S533" s="4">
        <v>0</v>
      </c>
      <c r="T533" s="4">
        <v>0</v>
      </c>
      <c r="U533" s="20">
        <f t="shared" si="35"/>
        <v>0</v>
      </c>
      <c r="V533" s="4"/>
      <c r="W533" s="4"/>
    </row>
    <row r="534" spans="7:23" ht="15.75" thickBot="1">
      <c r="G534" s="32">
        <v>1</v>
      </c>
      <c r="H534" s="703"/>
      <c r="I534" s="705"/>
      <c r="J534" s="33">
        <v>48</v>
      </c>
      <c r="K534" s="705"/>
      <c r="L534" s="687"/>
      <c r="M534" s="687"/>
      <c r="O534" s="42">
        <v>12</v>
      </c>
      <c r="P534" s="95">
        <v>4</v>
      </c>
      <c r="Q534" s="96">
        <f t="shared" si="37"/>
        <v>48</v>
      </c>
      <c r="S534" s="4">
        <v>0</v>
      </c>
      <c r="T534" s="4">
        <v>0</v>
      </c>
      <c r="U534" s="20">
        <f t="shared" si="35"/>
        <v>0</v>
      </c>
      <c r="V534" s="4"/>
      <c r="W534" s="4"/>
    </row>
    <row r="535" spans="7:23" ht="15.75" thickBot="1">
      <c r="G535" s="226">
        <v>2</v>
      </c>
      <c r="H535" s="787" t="s">
        <v>229</v>
      </c>
      <c r="I535" s="789">
        <v>8015</v>
      </c>
      <c r="J535" s="190">
        <v>60</v>
      </c>
      <c r="K535" s="190" t="s">
        <v>220</v>
      </c>
      <c r="L535" s="192" t="s">
        <v>221</v>
      </c>
      <c r="M535" s="192">
        <v>264</v>
      </c>
      <c r="O535" s="252">
        <v>12</v>
      </c>
      <c r="P535" s="124">
        <v>5</v>
      </c>
      <c r="Q535" s="302">
        <f t="shared" si="37"/>
        <v>60</v>
      </c>
      <c r="S535" s="4">
        <v>0</v>
      </c>
      <c r="T535" s="4">
        <v>0</v>
      </c>
      <c r="U535" s="20">
        <f t="shared" si="35"/>
        <v>0</v>
      </c>
      <c r="V535" s="4"/>
      <c r="W535" s="4"/>
    </row>
    <row r="536" spans="7:23">
      <c r="G536" s="765">
        <v>1</v>
      </c>
      <c r="H536" s="769"/>
      <c r="I536" s="772"/>
      <c r="J536" s="771">
        <v>58</v>
      </c>
      <c r="K536" s="771" t="s">
        <v>220</v>
      </c>
      <c r="L536" s="774" t="s">
        <v>221</v>
      </c>
      <c r="M536" s="774">
        <f>+G536*J536</f>
        <v>58</v>
      </c>
      <c r="O536" s="240">
        <v>10</v>
      </c>
      <c r="P536" s="311">
        <v>1</v>
      </c>
      <c r="Q536" s="253">
        <f t="shared" si="37"/>
        <v>10</v>
      </c>
      <c r="S536" s="4"/>
      <c r="T536" s="4"/>
      <c r="U536" s="20"/>
      <c r="V536" s="4"/>
      <c r="W536" s="4"/>
    </row>
    <row r="537" spans="7:23" ht="15.75" thickBot="1">
      <c r="G537" s="791"/>
      <c r="H537" s="788"/>
      <c r="I537" s="790"/>
      <c r="J537" s="790"/>
      <c r="K537" s="790"/>
      <c r="L537" s="778"/>
      <c r="M537" s="778"/>
      <c r="O537" s="61">
        <v>12</v>
      </c>
      <c r="P537" s="312">
        <v>4</v>
      </c>
      <c r="Q537" s="81">
        <f t="shared" si="37"/>
        <v>48</v>
      </c>
      <c r="S537" s="4">
        <v>0</v>
      </c>
      <c r="T537" s="4">
        <v>0</v>
      </c>
      <c r="U537" s="20">
        <f t="shared" si="35"/>
        <v>0</v>
      </c>
      <c r="V537" s="4"/>
      <c r="W537" s="4"/>
    </row>
    <row r="538" spans="7:23">
      <c r="G538" s="226">
        <v>2</v>
      </c>
      <c r="H538" s="710" t="s">
        <v>386</v>
      </c>
      <c r="I538" s="711">
        <v>8015</v>
      </c>
      <c r="J538" s="190">
        <v>60</v>
      </c>
      <c r="K538" s="711" t="s">
        <v>220</v>
      </c>
      <c r="L538" s="685" t="s">
        <v>221</v>
      </c>
      <c r="M538" s="685">
        <v>264</v>
      </c>
      <c r="O538" s="252">
        <v>12</v>
      </c>
      <c r="P538" s="124">
        <v>5</v>
      </c>
      <c r="Q538" s="253">
        <f t="shared" si="37"/>
        <v>60</v>
      </c>
      <c r="R538" s="10"/>
      <c r="S538" s="4">
        <v>0</v>
      </c>
      <c r="T538" s="4">
        <v>0</v>
      </c>
      <c r="U538" s="20">
        <f t="shared" si="35"/>
        <v>0</v>
      </c>
      <c r="V538" s="4"/>
      <c r="W538" s="4"/>
    </row>
    <row r="539" spans="7:23" ht="15.75" thickBot="1">
      <c r="G539" s="32">
        <v>1</v>
      </c>
      <c r="H539" s="703"/>
      <c r="I539" s="705"/>
      <c r="J539" s="33">
        <v>48</v>
      </c>
      <c r="K539" s="705"/>
      <c r="L539" s="687"/>
      <c r="M539" s="687"/>
      <c r="O539" s="42">
        <v>12</v>
      </c>
      <c r="P539" s="95">
        <v>4</v>
      </c>
      <c r="Q539" s="96">
        <f t="shared" si="37"/>
        <v>48</v>
      </c>
      <c r="S539" s="4">
        <v>0</v>
      </c>
      <c r="T539" s="4">
        <v>0</v>
      </c>
      <c r="U539" s="20">
        <f t="shared" si="35"/>
        <v>0</v>
      </c>
      <c r="V539" s="4"/>
      <c r="W539" s="4"/>
    </row>
    <row r="540" spans="7:23">
      <c r="G540" s="716">
        <v>5</v>
      </c>
      <c r="H540" s="685" t="s">
        <v>308</v>
      </c>
      <c r="I540" s="749" t="s">
        <v>347</v>
      </c>
      <c r="J540" s="712" t="s">
        <v>219</v>
      </c>
      <c r="K540" s="712" t="s">
        <v>348</v>
      </c>
      <c r="L540" s="685" t="s">
        <v>221</v>
      </c>
      <c r="M540" s="781">
        <v>264</v>
      </c>
      <c r="O540" s="252">
        <v>12</v>
      </c>
      <c r="P540" s="122">
        <v>5</v>
      </c>
      <c r="Q540" s="253">
        <f t="shared" si="37"/>
        <v>60</v>
      </c>
      <c r="S540" s="4">
        <v>0</v>
      </c>
      <c r="T540" s="4">
        <v>0</v>
      </c>
      <c r="U540" s="20">
        <f t="shared" si="35"/>
        <v>0</v>
      </c>
      <c r="V540" s="4"/>
      <c r="W540" s="4"/>
    </row>
    <row r="541" spans="7:23">
      <c r="G541" s="717"/>
      <c r="H541" s="686"/>
      <c r="I541" s="784"/>
      <c r="J541" s="693"/>
      <c r="K541" s="693"/>
      <c r="L541" s="686"/>
      <c r="M541" s="782"/>
      <c r="O541" s="42">
        <v>12</v>
      </c>
      <c r="P541" s="95">
        <v>6</v>
      </c>
      <c r="Q541" s="96">
        <f t="shared" si="37"/>
        <v>72</v>
      </c>
      <c r="S541" s="4">
        <v>0</v>
      </c>
      <c r="T541" s="4">
        <v>0</v>
      </c>
      <c r="U541" s="20">
        <f t="shared" si="35"/>
        <v>0</v>
      </c>
      <c r="V541" s="4"/>
      <c r="W541" s="4"/>
    </row>
    <row r="542" spans="7:23">
      <c r="G542" s="717"/>
      <c r="H542" s="686"/>
      <c r="I542" s="784"/>
      <c r="J542" s="693"/>
      <c r="K542" s="693"/>
      <c r="L542" s="686"/>
      <c r="M542" s="782"/>
      <c r="O542" s="42">
        <v>12</v>
      </c>
      <c r="P542" s="95">
        <v>5</v>
      </c>
      <c r="Q542" s="96">
        <f t="shared" si="37"/>
        <v>60</v>
      </c>
      <c r="S542" s="4">
        <v>0</v>
      </c>
      <c r="T542" s="4">
        <v>0</v>
      </c>
      <c r="U542" s="20">
        <f t="shared" si="35"/>
        <v>0</v>
      </c>
      <c r="V542" s="4"/>
      <c r="W542" s="4"/>
    </row>
    <row r="543" spans="7:23" ht="15.75" thickBot="1">
      <c r="G543" s="780"/>
      <c r="H543" s="687"/>
      <c r="I543" s="750"/>
      <c r="J543" s="706"/>
      <c r="K543" s="706"/>
      <c r="L543" s="687"/>
      <c r="M543" s="783"/>
      <c r="O543" s="13">
        <v>12</v>
      </c>
      <c r="P543" s="99">
        <v>6</v>
      </c>
      <c r="Q543" s="78">
        <f t="shared" si="37"/>
        <v>72</v>
      </c>
      <c r="S543" s="4">
        <v>0</v>
      </c>
      <c r="T543" s="4">
        <v>0</v>
      </c>
      <c r="U543" s="20">
        <f t="shared" si="35"/>
        <v>0</v>
      </c>
      <c r="V543" s="4"/>
      <c r="W543" s="4"/>
    </row>
    <row r="544" spans="7:23">
      <c r="G544" s="720">
        <v>1</v>
      </c>
      <c r="H544" s="685" t="s">
        <v>308</v>
      </c>
      <c r="I544" s="749" t="s">
        <v>347</v>
      </c>
      <c r="J544" s="711">
        <v>57</v>
      </c>
      <c r="K544" s="712" t="s">
        <v>348</v>
      </c>
      <c r="L544" s="685" t="s">
        <v>221</v>
      </c>
      <c r="M544" s="685">
        <f>+G544*J544</f>
        <v>57</v>
      </c>
      <c r="O544" s="269">
        <v>10</v>
      </c>
      <c r="P544" s="269">
        <v>5</v>
      </c>
      <c r="Q544" s="253">
        <f t="shared" si="37"/>
        <v>50</v>
      </c>
      <c r="S544" s="4">
        <v>0</v>
      </c>
      <c r="T544" s="4">
        <v>0</v>
      </c>
      <c r="U544" s="20">
        <f t="shared" si="35"/>
        <v>0</v>
      </c>
      <c r="V544" s="4"/>
      <c r="W544" s="4"/>
    </row>
    <row r="545" spans="7:23" ht="15.75" thickBot="1">
      <c r="G545" s="722"/>
      <c r="H545" s="687"/>
      <c r="I545" s="750"/>
      <c r="J545" s="705"/>
      <c r="K545" s="706"/>
      <c r="L545" s="687"/>
      <c r="M545" s="687"/>
      <c r="O545" s="101">
        <v>7</v>
      </c>
      <c r="P545" s="101">
        <v>1</v>
      </c>
      <c r="Q545" s="78">
        <f t="shared" si="37"/>
        <v>7</v>
      </c>
      <c r="S545" s="4">
        <v>0</v>
      </c>
      <c r="T545" s="4">
        <v>0</v>
      </c>
      <c r="U545" s="20">
        <f t="shared" si="35"/>
        <v>0</v>
      </c>
      <c r="V545" s="4"/>
      <c r="W545" s="4"/>
    </row>
    <row r="546" spans="7:23">
      <c r="G546" s="720">
        <v>1</v>
      </c>
      <c r="H546" s="685" t="s">
        <v>349</v>
      </c>
      <c r="I546" s="749" t="s">
        <v>350</v>
      </c>
      <c r="J546" s="711">
        <v>58</v>
      </c>
      <c r="K546" s="712" t="s">
        <v>348</v>
      </c>
      <c r="L546" s="685" t="s">
        <v>221</v>
      </c>
      <c r="M546" s="685">
        <f>+G546*J546</f>
        <v>58</v>
      </c>
      <c r="O546" s="269">
        <v>10</v>
      </c>
      <c r="P546" s="269">
        <v>5</v>
      </c>
      <c r="Q546" s="253">
        <f t="shared" si="37"/>
        <v>50</v>
      </c>
      <c r="S546" s="4">
        <v>0</v>
      </c>
      <c r="T546" s="4">
        <v>0</v>
      </c>
      <c r="U546" s="20">
        <f t="shared" si="35"/>
        <v>0</v>
      </c>
      <c r="V546" s="4"/>
      <c r="W546" s="4"/>
    </row>
    <row r="547" spans="7:23" ht="15.75" thickBot="1">
      <c r="G547" s="722"/>
      <c r="H547" s="687"/>
      <c r="I547" s="750"/>
      <c r="J547" s="705"/>
      <c r="K547" s="706"/>
      <c r="L547" s="687"/>
      <c r="M547" s="687"/>
      <c r="O547" s="158">
        <v>8</v>
      </c>
      <c r="P547" s="158">
        <v>1</v>
      </c>
      <c r="Q547" s="81">
        <f t="shared" si="37"/>
        <v>8</v>
      </c>
      <c r="S547" s="4">
        <v>0</v>
      </c>
      <c r="T547" s="4">
        <v>0</v>
      </c>
      <c r="U547" s="20">
        <f t="shared" si="35"/>
        <v>0</v>
      </c>
      <c r="V547" s="4"/>
      <c r="W547" s="4"/>
    </row>
    <row r="548" spans="7:23">
      <c r="G548" s="720">
        <v>1</v>
      </c>
      <c r="H548" s="685" t="s">
        <v>351</v>
      </c>
      <c r="I548" s="749" t="s">
        <v>352</v>
      </c>
      <c r="J548" s="711">
        <v>68</v>
      </c>
      <c r="K548" s="711" t="s">
        <v>348</v>
      </c>
      <c r="L548" s="685" t="s">
        <v>221</v>
      </c>
      <c r="M548" s="685">
        <f>+G548*J548</f>
        <v>68</v>
      </c>
      <c r="O548" s="269">
        <v>11.5</v>
      </c>
      <c r="P548" s="269">
        <v>5</v>
      </c>
      <c r="Q548" s="253">
        <f t="shared" si="37"/>
        <v>57.5</v>
      </c>
      <c r="S548" s="4">
        <v>0</v>
      </c>
      <c r="T548" s="4">
        <v>0</v>
      </c>
      <c r="U548" s="20">
        <f t="shared" si="35"/>
        <v>0</v>
      </c>
      <c r="V548" s="4"/>
      <c r="W548" s="4"/>
    </row>
    <row r="549" spans="7:23" ht="15.75" thickBot="1">
      <c r="G549" s="722"/>
      <c r="H549" s="687"/>
      <c r="I549" s="750"/>
      <c r="J549" s="705"/>
      <c r="K549" s="705"/>
      <c r="L549" s="687"/>
      <c r="M549" s="687"/>
      <c r="O549" s="158">
        <v>10.5</v>
      </c>
      <c r="P549" s="158">
        <v>1</v>
      </c>
      <c r="Q549" s="81">
        <f t="shared" si="37"/>
        <v>10.5</v>
      </c>
      <c r="S549" s="4">
        <v>0</v>
      </c>
      <c r="T549" s="4">
        <v>0</v>
      </c>
      <c r="U549" s="20">
        <f t="shared" si="35"/>
        <v>0</v>
      </c>
      <c r="V549" s="4"/>
      <c r="W549" s="4"/>
    </row>
    <row r="550" spans="7:23" ht="15.75" thickBot="1">
      <c r="G550" s="84">
        <v>1</v>
      </c>
      <c r="H550" s="173" t="s">
        <v>353</v>
      </c>
      <c r="I550" s="159" t="s">
        <v>354</v>
      </c>
      <c r="J550" s="84">
        <v>62.5</v>
      </c>
      <c r="K550" s="84" t="s">
        <v>348</v>
      </c>
      <c r="L550" s="44" t="s">
        <v>221</v>
      </c>
      <c r="M550" s="156">
        <f>+G550*J550</f>
        <v>62.5</v>
      </c>
      <c r="O550" s="157">
        <v>12.5</v>
      </c>
      <c r="P550" s="157">
        <v>5</v>
      </c>
      <c r="Q550" s="157">
        <f t="shared" si="37"/>
        <v>62.5</v>
      </c>
      <c r="S550" s="4">
        <v>0</v>
      </c>
      <c r="T550" s="4">
        <v>0</v>
      </c>
      <c r="U550" s="20">
        <f t="shared" si="35"/>
        <v>0</v>
      </c>
      <c r="V550" s="4"/>
      <c r="W550" s="4"/>
    </row>
    <row r="551" spans="7:23">
      <c r="G551" s="720">
        <v>1</v>
      </c>
      <c r="H551" s="685" t="s">
        <v>355</v>
      </c>
      <c r="I551" s="749" t="s">
        <v>356</v>
      </c>
      <c r="J551" s="711">
        <v>61</v>
      </c>
      <c r="K551" s="711" t="s">
        <v>348</v>
      </c>
      <c r="L551" s="685" t="s">
        <v>221</v>
      </c>
      <c r="M551" s="685">
        <f>+G551*J551</f>
        <v>61</v>
      </c>
      <c r="O551" s="269">
        <v>10.5</v>
      </c>
      <c r="P551" s="269">
        <v>5</v>
      </c>
      <c r="Q551" s="253">
        <f t="shared" si="37"/>
        <v>52.5</v>
      </c>
      <c r="S551" s="4">
        <v>0</v>
      </c>
      <c r="T551" s="4">
        <v>0</v>
      </c>
      <c r="U551" s="20">
        <f t="shared" si="35"/>
        <v>0</v>
      </c>
      <c r="V551" s="4"/>
      <c r="W551" s="4"/>
    </row>
    <row r="552" spans="7:23" ht="15.75" thickBot="1">
      <c r="G552" s="721"/>
      <c r="H552" s="686"/>
      <c r="I552" s="784"/>
      <c r="J552" s="704"/>
      <c r="K552" s="704"/>
      <c r="L552" s="686"/>
      <c r="M552" s="687"/>
      <c r="O552" s="157">
        <v>8.5</v>
      </c>
      <c r="P552" s="157">
        <v>1</v>
      </c>
      <c r="Q552" s="102">
        <f t="shared" si="37"/>
        <v>8.5</v>
      </c>
      <c r="S552" s="4">
        <v>0</v>
      </c>
      <c r="T552" s="4">
        <v>0</v>
      </c>
      <c r="U552" s="20">
        <f t="shared" si="35"/>
        <v>0</v>
      </c>
      <c r="V552" s="4"/>
      <c r="W552" s="4"/>
    </row>
    <row r="553" spans="7:23">
      <c r="G553" s="716">
        <v>1</v>
      </c>
      <c r="H553" s="685" t="s">
        <v>357</v>
      </c>
      <c r="I553" s="749" t="s">
        <v>358</v>
      </c>
      <c r="J553" s="712">
        <v>61</v>
      </c>
      <c r="K553" s="711" t="s">
        <v>348</v>
      </c>
      <c r="L553" s="685" t="s">
        <v>221</v>
      </c>
      <c r="M553" s="685">
        <f>+G553*J553</f>
        <v>61</v>
      </c>
      <c r="O553" s="269">
        <v>10.5</v>
      </c>
      <c r="P553" s="269">
        <v>5</v>
      </c>
      <c r="Q553" s="253">
        <f t="shared" si="37"/>
        <v>52.5</v>
      </c>
      <c r="S553" s="4">
        <v>0</v>
      </c>
      <c r="T553" s="4">
        <v>0</v>
      </c>
      <c r="U553" s="20">
        <f t="shared" si="35"/>
        <v>0</v>
      </c>
      <c r="V553" s="4"/>
      <c r="W553" s="4"/>
    </row>
    <row r="554" spans="7:23" ht="15.75" thickBot="1">
      <c r="G554" s="780"/>
      <c r="H554" s="687"/>
      <c r="I554" s="750"/>
      <c r="J554" s="706"/>
      <c r="K554" s="705"/>
      <c r="L554" s="687"/>
      <c r="M554" s="687"/>
      <c r="O554" s="158">
        <v>8.5</v>
      </c>
      <c r="P554" s="158">
        <v>1</v>
      </c>
      <c r="Q554" s="81">
        <f t="shared" si="37"/>
        <v>8.5</v>
      </c>
      <c r="S554" s="4">
        <v>0</v>
      </c>
      <c r="T554" s="4">
        <v>0</v>
      </c>
      <c r="U554" s="20">
        <f t="shared" si="35"/>
        <v>0</v>
      </c>
      <c r="V554" s="4"/>
      <c r="W554" s="4"/>
    </row>
    <row r="555" spans="7:23">
      <c r="G555" s="720">
        <v>1</v>
      </c>
      <c r="H555" s="785" t="s">
        <v>359</v>
      </c>
      <c r="I555" s="749" t="s">
        <v>360</v>
      </c>
      <c r="J555" s="711">
        <v>61.5</v>
      </c>
      <c r="K555" s="711" t="s">
        <v>348</v>
      </c>
      <c r="L555" s="685" t="s">
        <v>221</v>
      </c>
      <c r="M555" s="685">
        <f>+G555*J555</f>
        <v>61.5</v>
      </c>
      <c r="O555" s="269">
        <v>12.5</v>
      </c>
      <c r="P555" s="269">
        <v>4</v>
      </c>
      <c r="Q555" s="253">
        <f t="shared" si="37"/>
        <v>50</v>
      </c>
      <c r="S555" s="4">
        <v>0</v>
      </c>
      <c r="T555" s="4">
        <v>0</v>
      </c>
      <c r="U555" s="20">
        <f t="shared" si="35"/>
        <v>0</v>
      </c>
      <c r="V555" s="4"/>
      <c r="W555" s="4"/>
    </row>
    <row r="556" spans="7:23" ht="15.75" thickBot="1">
      <c r="G556" s="722"/>
      <c r="H556" s="786"/>
      <c r="I556" s="750"/>
      <c r="J556" s="705"/>
      <c r="K556" s="705"/>
      <c r="L556" s="687"/>
      <c r="M556" s="687"/>
      <c r="O556" s="158">
        <v>11.5</v>
      </c>
      <c r="P556" s="158">
        <v>1</v>
      </c>
      <c r="Q556" s="81">
        <f t="shared" si="37"/>
        <v>11.5</v>
      </c>
      <c r="S556" s="4">
        <v>0</v>
      </c>
      <c r="T556" s="4">
        <v>0</v>
      </c>
      <c r="U556" s="20">
        <f t="shared" si="35"/>
        <v>0</v>
      </c>
      <c r="V556" s="4"/>
      <c r="W556" s="4"/>
    </row>
    <row r="557" spans="7:23">
      <c r="G557" s="86">
        <v>1</v>
      </c>
      <c r="H557" s="31" t="s">
        <v>339</v>
      </c>
      <c r="I557" s="160" t="s">
        <v>361</v>
      </c>
      <c r="J557" s="304">
        <v>60</v>
      </c>
      <c r="K557" s="146" t="s">
        <v>348</v>
      </c>
      <c r="L557" s="7" t="s">
        <v>221</v>
      </c>
      <c r="M557" s="156">
        <f>+G557*J557</f>
        <v>60</v>
      </c>
      <c r="O557" s="79">
        <v>12</v>
      </c>
      <c r="P557" s="79">
        <v>5</v>
      </c>
      <c r="Q557" s="79">
        <f t="shared" si="37"/>
        <v>60</v>
      </c>
      <c r="S557" s="4">
        <v>0</v>
      </c>
      <c r="T557" s="4">
        <v>0</v>
      </c>
      <c r="U557" s="20">
        <f t="shared" si="35"/>
        <v>0</v>
      </c>
      <c r="V557" s="4"/>
      <c r="W557" s="4"/>
    </row>
    <row r="558" spans="7:23">
      <c r="G558" s="86">
        <v>1</v>
      </c>
      <c r="H558" s="31" t="s">
        <v>339</v>
      </c>
      <c r="I558" s="160" t="s">
        <v>361</v>
      </c>
      <c r="J558" s="304">
        <v>24</v>
      </c>
      <c r="K558" s="146" t="s">
        <v>348</v>
      </c>
      <c r="L558" s="7" t="s">
        <v>362</v>
      </c>
      <c r="M558" s="161">
        <f>+G558*J558</f>
        <v>24</v>
      </c>
      <c r="O558" s="79">
        <v>12</v>
      </c>
      <c r="P558" s="79">
        <v>2</v>
      </c>
      <c r="Q558" s="79">
        <f t="shared" si="37"/>
        <v>24</v>
      </c>
      <c r="S558" s="4">
        <v>0</v>
      </c>
      <c r="T558" s="4">
        <v>0</v>
      </c>
      <c r="U558" s="20">
        <f t="shared" si="35"/>
        <v>0</v>
      </c>
      <c r="V558" s="4"/>
      <c r="W558" s="4"/>
    </row>
    <row r="559" spans="7:23">
      <c r="G559" s="162">
        <f>SUM(G426:G558)</f>
        <v>174</v>
      </c>
      <c r="J559" s="163"/>
      <c r="M559" s="163"/>
      <c r="U559" s="164">
        <f>SUM(U426:U558)</f>
        <v>12</v>
      </c>
    </row>
  </sheetData>
  <mergeCells count="1032">
    <mergeCell ref="G553:G554"/>
    <mergeCell ref="H553:H554"/>
    <mergeCell ref="I553:I554"/>
    <mergeCell ref="J553:J554"/>
    <mergeCell ref="K553:K554"/>
    <mergeCell ref="L553:L554"/>
    <mergeCell ref="M553:M554"/>
    <mergeCell ref="G555:G556"/>
    <mergeCell ref="H555:H556"/>
    <mergeCell ref="I555:I556"/>
    <mergeCell ref="J555:J556"/>
    <mergeCell ref="K555:K556"/>
    <mergeCell ref="L555:L556"/>
    <mergeCell ref="M555:M556"/>
    <mergeCell ref="G548:G549"/>
    <mergeCell ref="H548:H549"/>
    <mergeCell ref="I548:I549"/>
    <mergeCell ref="J548:J549"/>
    <mergeCell ref="K548:K549"/>
    <mergeCell ref="L548:L549"/>
    <mergeCell ref="M548:M549"/>
    <mergeCell ref="G551:G552"/>
    <mergeCell ref="H551:H552"/>
    <mergeCell ref="I551:I552"/>
    <mergeCell ref="J551:J552"/>
    <mergeCell ref="K551:K552"/>
    <mergeCell ref="L551:L552"/>
    <mergeCell ref="M551:M552"/>
    <mergeCell ref="G544:G545"/>
    <mergeCell ref="H544:H545"/>
    <mergeCell ref="I544:I545"/>
    <mergeCell ref="J544:J545"/>
    <mergeCell ref="K544:K545"/>
    <mergeCell ref="L544:L545"/>
    <mergeCell ref="M544:M545"/>
    <mergeCell ref="G546:G547"/>
    <mergeCell ref="H546:H547"/>
    <mergeCell ref="I546:I547"/>
    <mergeCell ref="J546:J547"/>
    <mergeCell ref="K546:K547"/>
    <mergeCell ref="L546:L547"/>
    <mergeCell ref="M546:M547"/>
    <mergeCell ref="H538:H539"/>
    <mergeCell ref="I538:I539"/>
    <mergeCell ref="K538:K539"/>
    <mergeCell ref="L538:L539"/>
    <mergeCell ref="M538:M539"/>
    <mergeCell ref="G540:G543"/>
    <mergeCell ref="H540:H543"/>
    <mergeCell ref="I540:I543"/>
    <mergeCell ref="J540:J543"/>
    <mergeCell ref="K540:K543"/>
    <mergeCell ref="L540:L543"/>
    <mergeCell ref="M540:M543"/>
    <mergeCell ref="H533:H534"/>
    <mergeCell ref="I533:I534"/>
    <mergeCell ref="K533:K534"/>
    <mergeCell ref="L533:L534"/>
    <mergeCell ref="M533:M534"/>
    <mergeCell ref="H535:H537"/>
    <mergeCell ref="I535:I537"/>
    <mergeCell ref="G536:G537"/>
    <mergeCell ref="J536:J537"/>
    <mergeCell ref="K536:K537"/>
    <mergeCell ref="L536:L537"/>
    <mergeCell ref="M536:M537"/>
    <mergeCell ref="G525:G528"/>
    <mergeCell ref="H525:H528"/>
    <mergeCell ref="I525:I528"/>
    <mergeCell ref="J525:J528"/>
    <mergeCell ref="K525:K528"/>
    <mergeCell ref="L525:L528"/>
    <mergeCell ref="M525:M528"/>
    <mergeCell ref="G531:G532"/>
    <mergeCell ref="H531:H532"/>
    <mergeCell ref="J531:J532"/>
    <mergeCell ref="K531:K532"/>
    <mergeCell ref="L531:L532"/>
    <mergeCell ref="M531:M532"/>
    <mergeCell ref="G515:G518"/>
    <mergeCell ref="H515:H518"/>
    <mergeCell ref="I515:I518"/>
    <mergeCell ref="J515:J518"/>
    <mergeCell ref="K515:K518"/>
    <mergeCell ref="L515:L518"/>
    <mergeCell ref="M515:M518"/>
    <mergeCell ref="G521:G524"/>
    <mergeCell ref="H521:H524"/>
    <mergeCell ref="I521:I524"/>
    <mergeCell ref="J521:J524"/>
    <mergeCell ref="K521:K524"/>
    <mergeCell ref="L521:L524"/>
    <mergeCell ref="M521:M524"/>
    <mergeCell ref="G504:G507"/>
    <mergeCell ref="H504:H507"/>
    <mergeCell ref="I504:I507"/>
    <mergeCell ref="J504:J507"/>
    <mergeCell ref="K504:K507"/>
    <mergeCell ref="L504:L507"/>
    <mergeCell ref="M504:M507"/>
    <mergeCell ref="G510:G513"/>
    <mergeCell ref="H510:H513"/>
    <mergeCell ref="I510:I513"/>
    <mergeCell ref="J510:J513"/>
    <mergeCell ref="K510:K513"/>
    <mergeCell ref="L510:L513"/>
    <mergeCell ref="M510:M513"/>
    <mergeCell ref="G496:G499"/>
    <mergeCell ref="H496:H499"/>
    <mergeCell ref="I496:I499"/>
    <mergeCell ref="J496:J499"/>
    <mergeCell ref="K496:K499"/>
    <mergeCell ref="L496:L499"/>
    <mergeCell ref="M496:M499"/>
    <mergeCell ref="G500:G503"/>
    <mergeCell ref="H500:H503"/>
    <mergeCell ref="I500:I503"/>
    <mergeCell ref="J500:J503"/>
    <mergeCell ref="K500:K503"/>
    <mergeCell ref="L500:L503"/>
    <mergeCell ref="M500:M503"/>
    <mergeCell ref="G488:G491"/>
    <mergeCell ref="H488:H491"/>
    <mergeCell ref="I488:I491"/>
    <mergeCell ref="J488:J491"/>
    <mergeCell ref="K488:K491"/>
    <mergeCell ref="L488:L491"/>
    <mergeCell ref="M488:M491"/>
    <mergeCell ref="G492:G495"/>
    <mergeCell ref="H492:H495"/>
    <mergeCell ref="I492:I495"/>
    <mergeCell ref="J492:J495"/>
    <mergeCell ref="K492:K495"/>
    <mergeCell ref="L492:L495"/>
    <mergeCell ref="M492:M495"/>
    <mergeCell ref="G480:G483"/>
    <mergeCell ref="H480:H483"/>
    <mergeCell ref="I480:I483"/>
    <mergeCell ref="J480:J483"/>
    <mergeCell ref="K480:K483"/>
    <mergeCell ref="L480:L483"/>
    <mergeCell ref="M480:M483"/>
    <mergeCell ref="G484:G487"/>
    <mergeCell ref="H484:H487"/>
    <mergeCell ref="I484:I487"/>
    <mergeCell ref="J484:J487"/>
    <mergeCell ref="K484:K487"/>
    <mergeCell ref="L484:L487"/>
    <mergeCell ref="M484:M487"/>
    <mergeCell ref="G473:G474"/>
    <mergeCell ref="H473:H474"/>
    <mergeCell ref="I473:I474"/>
    <mergeCell ref="J473:J474"/>
    <mergeCell ref="K473:K474"/>
    <mergeCell ref="L473:L474"/>
    <mergeCell ref="M473:M474"/>
    <mergeCell ref="G475:G478"/>
    <mergeCell ref="H475:H478"/>
    <mergeCell ref="I475:I478"/>
    <mergeCell ref="J475:J478"/>
    <mergeCell ref="K475:K478"/>
    <mergeCell ref="L475:L478"/>
    <mergeCell ref="M475:M478"/>
    <mergeCell ref="G467:G470"/>
    <mergeCell ref="H467:H470"/>
    <mergeCell ref="I467:I470"/>
    <mergeCell ref="J467:J470"/>
    <mergeCell ref="K467:K470"/>
    <mergeCell ref="L467:L470"/>
    <mergeCell ref="M467:M470"/>
    <mergeCell ref="G471:G472"/>
    <mergeCell ref="H471:H472"/>
    <mergeCell ref="I471:I472"/>
    <mergeCell ref="J471:J472"/>
    <mergeCell ref="K471:K472"/>
    <mergeCell ref="L471:L472"/>
    <mergeCell ref="M471:M472"/>
    <mergeCell ref="G461:G464"/>
    <mergeCell ref="H461:H464"/>
    <mergeCell ref="I461:I464"/>
    <mergeCell ref="J461:J464"/>
    <mergeCell ref="K461:K464"/>
    <mergeCell ref="L461:L464"/>
    <mergeCell ref="M461:M464"/>
    <mergeCell ref="G465:G466"/>
    <mergeCell ref="H465:H466"/>
    <mergeCell ref="I465:I466"/>
    <mergeCell ref="J465:J466"/>
    <mergeCell ref="K465:K466"/>
    <mergeCell ref="L465:L466"/>
    <mergeCell ref="M465:M466"/>
    <mergeCell ref="G453:G456"/>
    <mergeCell ref="H453:H456"/>
    <mergeCell ref="I453:I456"/>
    <mergeCell ref="J453:J456"/>
    <mergeCell ref="K453:K456"/>
    <mergeCell ref="L453:L456"/>
    <mergeCell ref="M453:M456"/>
    <mergeCell ref="G457:G460"/>
    <mergeCell ref="H457:H460"/>
    <mergeCell ref="I457:I460"/>
    <mergeCell ref="J457:J460"/>
    <mergeCell ref="K457:K460"/>
    <mergeCell ref="L457:L460"/>
    <mergeCell ref="M457:M460"/>
    <mergeCell ref="G443:G446"/>
    <mergeCell ref="H443:H446"/>
    <mergeCell ref="I443:I446"/>
    <mergeCell ref="J443:J446"/>
    <mergeCell ref="K443:K446"/>
    <mergeCell ref="L443:L446"/>
    <mergeCell ref="M443:M446"/>
    <mergeCell ref="G447:G452"/>
    <mergeCell ref="H447:H452"/>
    <mergeCell ref="I447:I452"/>
    <mergeCell ref="J447:J452"/>
    <mergeCell ref="K447:K452"/>
    <mergeCell ref="L447:L452"/>
    <mergeCell ref="M447:M452"/>
    <mergeCell ref="G435:G438"/>
    <mergeCell ref="H435:H438"/>
    <mergeCell ref="I435:I438"/>
    <mergeCell ref="J435:J438"/>
    <mergeCell ref="K435:K438"/>
    <mergeCell ref="L435:L438"/>
    <mergeCell ref="M435:M438"/>
    <mergeCell ref="G439:G442"/>
    <mergeCell ref="H439:H442"/>
    <mergeCell ref="I439:I442"/>
    <mergeCell ref="J439:J442"/>
    <mergeCell ref="K439:K442"/>
    <mergeCell ref="L439:L442"/>
    <mergeCell ref="M439:M442"/>
    <mergeCell ref="G430:G431"/>
    <mergeCell ref="H430:H431"/>
    <mergeCell ref="I430:I431"/>
    <mergeCell ref="J430:J431"/>
    <mergeCell ref="K430:K431"/>
    <mergeCell ref="L430:L431"/>
    <mergeCell ref="M430:M431"/>
    <mergeCell ref="G432:G433"/>
    <mergeCell ref="H432:H433"/>
    <mergeCell ref="I432:I433"/>
    <mergeCell ref="J432:J433"/>
    <mergeCell ref="K432:K433"/>
    <mergeCell ref="L432:L433"/>
    <mergeCell ref="M432:M433"/>
    <mergeCell ref="H424:M424"/>
    <mergeCell ref="O424:Q424"/>
    <mergeCell ref="S424:W424"/>
    <mergeCell ref="G426:G429"/>
    <mergeCell ref="H426:H429"/>
    <mergeCell ref="I426:I429"/>
    <mergeCell ref="J426:J429"/>
    <mergeCell ref="K426:K429"/>
    <mergeCell ref="L426:L429"/>
    <mergeCell ref="M426:M429"/>
    <mergeCell ref="G415:G416"/>
    <mergeCell ref="H415:H416"/>
    <mergeCell ref="I415:I416"/>
    <mergeCell ref="J415:J416"/>
    <mergeCell ref="K415:K416"/>
    <mergeCell ref="L415:L416"/>
    <mergeCell ref="M415:M416"/>
    <mergeCell ref="G417:G418"/>
    <mergeCell ref="H417:H418"/>
    <mergeCell ref="I417:I418"/>
    <mergeCell ref="J417:J418"/>
    <mergeCell ref="K417:K418"/>
    <mergeCell ref="L417:L418"/>
    <mergeCell ref="M417:M418"/>
    <mergeCell ref="G410:G411"/>
    <mergeCell ref="H410:H411"/>
    <mergeCell ref="I410:I411"/>
    <mergeCell ref="J410:J411"/>
    <mergeCell ref="K410:K411"/>
    <mergeCell ref="L410:L411"/>
    <mergeCell ref="M410:M411"/>
    <mergeCell ref="G413:G414"/>
    <mergeCell ref="H413:H414"/>
    <mergeCell ref="I413:I414"/>
    <mergeCell ref="J413:J414"/>
    <mergeCell ref="K413:K414"/>
    <mergeCell ref="L413:L414"/>
    <mergeCell ref="M413:M414"/>
    <mergeCell ref="G406:G407"/>
    <mergeCell ref="H406:H407"/>
    <mergeCell ref="I406:I407"/>
    <mergeCell ref="J406:J407"/>
    <mergeCell ref="K406:K407"/>
    <mergeCell ref="L406:L407"/>
    <mergeCell ref="M406:M407"/>
    <mergeCell ref="G408:G409"/>
    <mergeCell ref="H408:H409"/>
    <mergeCell ref="I408:I409"/>
    <mergeCell ref="J408:J409"/>
    <mergeCell ref="K408:K409"/>
    <mergeCell ref="L408:L409"/>
    <mergeCell ref="M408:M409"/>
    <mergeCell ref="H400:H401"/>
    <mergeCell ref="I400:I401"/>
    <mergeCell ref="K400:K401"/>
    <mergeCell ref="L400:L401"/>
    <mergeCell ref="M400:M401"/>
    <mergeCell ref="G402:G405"/>
    <mergeCell ref="H402:H405"/>
    <mergeCell ref="I402:I405"/>
    <mergeCell ref="J402:J405"/>
    <mergeCell ref="K402:K405"/>
    <mergeCell ref="L402:L405"/>
    <mergeCell ref="M402:M405"/>
    <mergeCell ref="H395:H396"/>
    <mergeCell ref="I395:I396"/>
    <mergeCell ref="K395:K396"/>
    <mergeCell ref="L395:L396"/>
    <mergeCell ref="M395:M396"/>
    <mergeCell ref="H397:H399"/>
    <mergeCell ref="I397:I399"/>
    <mergeCell ref="G398:G399"/>
    <mergeCell ref="J398:J399"/>
    <mergeCell ref="K398:K399"/>
    <mergeCell ref="L398:L399"/>
    <mergeCell ref="M398:M399"/>
    <mergeCell ref="G387:G390"/>
    <mergeCell ref="H387:H390"/>
    <mergeCell ref="I387:I390"/>
    <mergeCell ref="J387:J390"/>
    <mergeCell ref="K387:K390"/>
    <mergeCell ref="L387:L390"/>
    <mergeCell ref="M387:M390"/>
    <mergeCell ref="G393:G394"/>
    <mergeCell ref="H393:H394"/>
    <mergeCell ref="J393:J394"/>
    <mergeCell ref="K393:K394"/>
    <mergeCell ref="L393:L394"/>
    <mergeCell ref="M393:M394"/>
    <mergeCell ref="G377:G380"/>
    <mergeCell ref="H377:H380"/>
    <mergeCell ref="I377:I380"/>
    <mergeCell ref="J377:J380"/>
    <mergeCell ref="K377:K380"/>
    <mergeCell ref="L377:L380"/>
    <mergeCell ref="M377:M380"/>
    <mergeCell ref="G383:G386"/>
    <mergeCell ref="H383:H386"/>
    <mergeCell ref="I383:I386"/>
    <mergeCell ref="J383:J386"/>
    <mergeCell ref="K383:K386"/>
    <mergeCell ref="L383:L386"/>
    <mergeCell ref="M383:M386"/>
    <mergeCell ref="G366:G369"/>
    <mergeCell ref="H366:H369"/>
    <mergeCell ref="I366:I369"/>
    <mergeCell ref="J366:J369"/>
    <mergeCell ref="K366:K369"/>
    <mergeCell ref="L366:L369"/>
    <mergeCell ref="M366:M369"/>
    <mergeCell ref="G372:G375"/>
    <mergeCell ref="H372:H375"/>
    <mergeCell ref="I372:I375"/>
    <mergeCell ref="J372:J375"/>
    <mergeCell ref="K372:K375"/>
    <mergeCell ref="L372:L375"/>
    <mergeCell ref="M372:M375"/>
    <mergeCell ref="G358:G361"/>
    <mergeCell ref="H358:H361"/>
    <mergeCell ref="I358:I361"/>
    <mergeCell ref="J358:J361"/>
    <mergeCell ref="K358:K361"/>
    <mergeCell ref="L358:L361"/>
    <mergeCell ref="M358:M361"/>
    <mergeCell ref="G362:G365"/>
    <mergeCell ref="H362:H365"/>
    <mergeCell ref="I362:I365"/>
    <mergeCell ref="J362:J365"/>
    <mergeCell ref="K362:K365"/>
    <mergeCell ref="L362:L365"/>
    <mergeCell ref="M362:M365"/>
    <mergeCell ref="G350:G353"/>
    <mergeCell ref="H350:H353"/>
    <mergeCell ref="I350:I353"/>
    <mergeCell ref="J350:J353"/>
    <mergeCell ref="K350:K353"/>
    <mergeCell ref="L350:L353"/>
    <mergeCell ref="M350:M353"/>
    <mergeCell ref="G354:G357"/>
    <mergeCell ref="H354:H357"/>
    <mergeCell ref="I354:I357"/>
    <mergeCell ref="J354:J357"/>
    <mergeCell ref="K354:K357"/>
    <mergeCell ref="L354:L357"/>
    <mergeCell ref="M354:M357"/>
    <mergeCell ref="G342:G345"/>
    <mergeCell ref="H342:H345"/>
    <mergeCell ref="I342:I345"/>
    <mergeCell ref="J342:J345"/>
    <mergeCell ref="K342:K345"/>
    <mergeCell ref="L342:L345"/>
    <mergeCell ref="M342:M345"/>
    <mergeCell ref="G346:G349"/>
    <mergeCell ref="H346:H349"/>
    <mergeCell ref="I346:I349"/>
    <mergeCell ref="J346:J349"/>
    <mergeCell ref="K346:K349"/>
    <mergeCell ref="L346:L349"/>
    <mergeCell ref="M346:M349"/>
    <mergeCell ref="G335:G336"/>
    <mergeCell ref="H335:H336"/>
    <mergeCell ref="I335:I336"/>
    <mergeCell ref="J335:J336"/>
    <mergeCell ref="K335:K336"/>
    <mergeCell ref="L335:L336"/>
    <mergeCell ref="M335:M336"/>
    <mergeCell ref="G337:G340"/>
    <mergeCell ref="H337:H340"/>
    <mergeCell ref="I337:I340"/>
    <mergeCell ref="J337:J340"/>
    <mergeCell ref="K337:K340"/>
    <mergeCell ref="L337:L340"/>
    <mergeCell ref="M337:M340"/>
    <mergeCell ref="G329:G332"/>
    <mergeCell ref="H329:H332"/>
    <mergeCell ref="I329:I332"/>
    <mergeCell ref="J329:J332"/>
    <mergeCell ref="K329:K332"/>
    <mergeCell ref="L329:L332"/>
    <mergeCell ref="M329:M332"/>
    <mergeCell ref="G333:G334"/>
    <mergeCell ref="H333:H334"/>
    <mergeCell ref="I333:I334"/>
    <mergeCell ref="J333:J334"/>
    <mergeCell ref="K333:K334"/>
    <mergeCell ref="L333:L334"/>
    <mergeCell ref="M333:M334"/>
    <mergeCell ref="G323:G326"/>
    <mergeCell ref="H323:H326"/>
    <mergeCell ref="I323:I326"/>
    <mergeCell ref="J323:J326"/>
    <mergeCell ref="K323:K326"/>
    <mergeCell ref="L323:L326"/>
    <mergeCell ref="M323:M326"/>
    <mergeCell ref="G327:G328"/>
    <mergeCell ref="H327:H328"/>
    <mergeCell ref="I327:I328"/>
    <mergeCell ref="J327:J328"/>
    <mergeCell ref="K327:K328"/>
    <mergeCell ref="L327:L328"/>
    <mergeCell ref="M327:M328"/>
    <mergeCell ref="G315:G318"/>
    <mergeCell ref="H315:H318"/>
    <mergeCell ref="I315:I318"/>
    <mergeCell ref="J315:J318"/>
    <mergeCell ref="K315:K318"/>
    <mergeCell ref="L315:L318"/>
    <mergeCell ref="M315:M318"/>
    <mergeCell ref="G319:G322"/>
    <mergeCell ref="H319:H322"/>
    <mergeCell ref="I319:I322"/>
    <mergeCell ref="J319:J322"/>
    <mergeCell ref="K319:K322"/>
    <mergeCell ref="L319:L322"/>
    <mergeCell ref="M319:M322"/>
    <mergeCell ref="G305:G308"/>
    <mergeCell ref="H305:H308"/>
    <mergeCell ref="I305:I308"/>
    <mergeCell ref="J305:J308"/>
    <mergeCell ref="K305:K308"/>
    <mergeCell ref="L305:L308"/>
    <mergeCell ref="M305:M308"/>
    <mergeCell ref="G309:G314"/>
    <mergeCell ref="H309:H314"/>
    <mergeCell ref="I309:I314"/>
    <mergeCell ref="J309:J314"/>
    <mergeCell ref="K309:K314"/>
    <mergeCell ref="L309:L314"/>
    <mergeCell ref="M309:M314"/>
    <mergeCell ref="G297:G300"/>
    <mergeCell ref="H297:H300"/>
    <mergeCell ref="I297:I300"/>
    <mergeCell ref="J297:J300"/>
    <mergeCell ref="K297:K300"/>
    <mergeCell ref="L297:L300"/>
    <mergeCell ref="M297:M300"/>
    <mergeCell ref="G301:G304"/>
    <mergeCell ref="H301:H304"/>
    <mergeCell ref="I301:I304"/>
    <mergeCell ref="J301:J304"/>
    <mergeCell ref="K301:K304"/>
    <mergeCell ref="L301:L304"/>
    <mergeCell ref="M301:M304"/>
    <mergeCell ref="H288:M288"/>
    <mergeCell ref="O288:Q288"/>
    <mergeCell ref="S288:W288"/>
    <mergeCell ref="G290:G293"/>
    <mergeCell ref="H290:H293"/>
    <mergeCell ref="I290:I293"/>
    <mergeCell ref="J290:J293"/>
    <mergeCell ref="K290:K293"/>
    <mergeCell ref="L290:L293"/>
    <mergeCell ref="M290:M293"/>
    <mergeCell ref="G279:G280"/>
    <mergeCell ref="H279:H280"/>
    <mergeCell ref="I279:I280"/>
    <mergeCell ref="J279:J280"/>
    <mergeCell ref="K279:K280"/>
    <mergeCell ref="L279:L280"/>
    <mergeCell ref="M279:M280"/>
    <mergeCell ref="G281:G282"/>
    <mergeCell ref="H281:H282"/>
    <mergeCell ref="I281:I282"/>
    <mergeCell ref="J281:J282"/>
    <mergeCell ref="K281:K282"/>
    <mergeCell ref="L281:L282"/>
    <mergeCell ref="M281:M282"/>
    <mergeCell ref="G274:G275"/>
    <mergeCell ref="H274:H275"/>
    <mergeCell ref="I274:I275"/>
    <mergeCell ref="J274:J275"/>
    <mergeCell ref="K274:K275"/>
    <mergeCell ref="L274:L275"/>
    <mergeCell ref="M274:M275"/>
    <mergeCell ref="G277:G278"/>
    <mergeCell ref="H277:H278"/>
    <mergeCell ref="I277:I278"/>
    <mergeCell ref="J277:J278"/>
    <mergeCell ref="K277:K278"/>
    <mergeCell ref="L277:L278"/>
    <mergeCell ref="M277:M278"/>
    <mergeCell ref="G270:G271"/>
    <mergeCell ref="H270:H271"/>
    <mergeCell ref="I270:I271"/>
    <mergeCell ref="J270:J271"/>
    <mergeCell ref="K270:K271"/>
    <mergeCell ref="L270:L271"/>
    <mergeCell ref="M270:M271"/>
    <mergeCell ref="G272:G273"/>
    <mergeCell ref="H272:H273"/>
    <mergeCell ref="I272:I273"/>
    <mergeCell ref="J272:J273"/>
    <mergeCell ref="K272:K273"/>
    <mergeCell ref="L272:L273"/>
    <mergeCell ref="M272:M273"/>
    <mergeCell ref="H264:H265"/>
    <mergeCell ref="I264:I265"/>
    <mergeCell ref="K264:K265"/>
    <mergeCell ref="L264:L265"/>
    <mergeCell ref="M264:M265"/>
    <mergeCell ref="G266:G269"/>
    <mergeCell ref="H266:H269"/>
    <mergeCell ref="I266:I269"/>
    <mergeCell ref="J266:J269"/>
    <mergeCell ref="K266:K269"/>
    <mergeCell ref="L266:L269"/>
    <mergeCell ref="M266:M269"/>
    <mergeCell ref="H259:H260"/>
    <mergeCell ref="I259:I260"/>
    <mergeCell ref="K259:K260"/>
    <mergeCell ref="L259:L260"/>
    <mergeCell ref="M259:M260"/>
    <mergeCell ref="H261:H263"/>
    <mergeCell ref="I261:I263"/>
    <mergeCell ref="G262:G263"/>
    <mergeCell ref="J262:J263"/>
    <mergeCell ref="K262:K263"/>
    <mergeCell ref="L262:L263"/>
    <mergeCell ref="M262:M263"/>
    <mergeCell ref="G251:G254"/>
    <mergeCell ref="H251:H254"/>
    <mergeCell ref="I251:I254"/>
    <mergeCell ref="J251:J254"/>
    <mergeCell ref="K251:K254"/>
    <mergeCell ref="L251:L254"/>
    <mergeCell ref="M251:M254"/>
    <mergeCell ref="G257:G258"/>
    <mergeCell ref="H257:H258"/>
    <mergeCell ref="J257:J258"/>
    <mergeCell ref="K257:K258"/>
    <mergeCell ref="L257:L258"/>
    <mergeCell ref="M257:M258"/>
    <mergeCell ref="G243:G246"/>
    <mergeCell ref="H243:H246"/>
    <mergeCell ref="I243:I246"/>
    <mergeCell ref="J243:J246"/>
    <mergeCell ref="K243:K246"/>
    <mergeCell ref="L243:L246"/>
    <mergeCell ref="M243:M246"/>
    <mergeCell ref="G247:G250"/>
    <mergeCell ref="H247:H250"/>
    <mergeCell ref="I247:I250"/>
    <mergeCell ref="J247:J250"/>
    <mergeCell ref="K247:K250"/>
    <mergeCell ref="L247:L250"/>
    <mergeCell ref="M247:M250"/>
    <mergeCell ref="G233:G236"/>
    <mergeCell ref="H233:H236"/>
    <mergeCell ref="I233:I236"/>
    <mergeCell ref="J233:J236"/>
    <mergeCell ref="K233:K236"/>
    <mergeCell ref="L233:L236"/>
    <mergeCell ref="M233:M236"/>
    <mergeCell ref="G239:G242"/>
    <mergeCell ref="H239:H242"/>
    <mergeCell ref="I239:I242"/>
    <mergeCell ref="J239:J242"/>
    <mergeCell ref="K239:K242"/>
    <mergeCell ref="L239:L242"/>
    <mergeCell ref="M239:M242"/>
    <mergeCell ref="G222:G225"/>
    <mergeCell ref="H222:H225"/>
    <mergeCell ref="I222:I225"/>
    <mergeCell ref="J222:J225"/>
    <mergeCell ref="K222:K225"/>
    <mergeCell ref="L222:L225"/>
    <mergeCell ref="M222:M225"/>
    <mergeCell ref="G228:G231"/>
    <mergeCell ref="H228:H231"/>
    <mergeCell ref="I228:I231"/>
    <mergeCell ref="J228:J231"/>
    <mergeCell ref="K228:K231"/>
    <mergeCell ref="L228:L231"/>
    <mergeCell ref="M228:M231"/>
    <mergeCell ref="G214:G217"/>
    <mergeCell ref="H214:H217"/>
    <mergeCell ref="I214:I217"/>
    <mergeCell ref="J214:J217"/>
    <mergeCell ref="K214:K217"/>
    <mergeCell ref="L214:L217"/>
    <mergeCell ref="M214:M217"/>
    <mergeCell ref="G218:G221"/>
    <mergeCell ref="H218:H221"/>
    <mergeCell ref="I218:I221"/>
    <mergeCell ref="J218:J221"/>
    <mergeCell ref="K218:K221"/>
    <mergeCell ref="L218:L221"/>
    <mergeCell ref="M218:M221"/>
    <mergeCell ref="G206:G209"/>
    <mergeCell ref="H206:H209"/>
    <mergeCell ref="I206:I209"/>
    <mergeCell ref="J206:J209"/>
    <mergeCell ref="K206:K209"/>
    <mergeCell ref="L206:L209"/>
    <mergeCell ref="M206:M209"/>
    <mergeCell ref="G210:G213"/>
    <mergeCell ref="H210:H213"/>
    <mergeCell ref="I210:I213"/>
    <mergeCell ref="J210:J213"/>
    <mergeCell ref="K210:K213"/>
    <mergeCell ref="L210:L213"/>
    <mergeCell ref="M210:M213"/>
    <mergeCell ref="G198:G201"/>
    <mergeCell ref="H198:H201"/>
    <mergeCell ref="I198:I201"/>
    <mergeCell ref="J198:J201"/>
    <mergeCell ref="K198:K201"/>
    <mergeCell ref="L198:L201"/>
    <mergeCell ref="M198:M201"/>
    <mergeCell ref="G202:G205"/>
    <mergeCell ref="H202:H205"/>
    <mergeCell ref="I202:I205"/>
    <mergeCell ref="J202:J205"/>
    <mergeCell ref="K202:K205"/>
    <mergeCell ref="L202:L205"/>
    <mergeCell ref="M202:M205"/>
    <mergeCell ref="B192:E192"/>
    <mergeCell ref="G193:G196"/>
    <mergeCell ref="H193:H196"/>
    <mergeCell ref="I193:I196"/>
    <mergeCell ref="J193:J196"/>
    <mergeCell ref="K193:K196"/>
    <mergeCell ref="L193:L196"/>
    <mergeCell ref="M193:M196"/>
    <mergeCell ref="C194:C196"/>
    <mergeCell ref="D194:D196"/>
    <mergeCell ref="G189:G190"/>
    <mergeCell ref="H189:H190"/>
    <mergeCell ref="I189:I190"/>
    <mergeCell ref="J189:J190"/>
    <mergeCell ref="K189:K190"/>
    <mergeCell ref="L189:L190"/>
    <mergeCell ref="M189:M190"/>
    <mergeCell ref="G191:G192"/>
    <mergeCell ref="H191:H192"/>
    <mergeCell ref="I191:I192"/>
    <mergeCell ref="J191:J192"/>
    <mergeCell ref="K191:K192"/>
    <mergeCell ref="L191:L192"/>
    <mergeCell ref="M191:M192"/>
    <mergeCell ref="G183:G184"/>
    <mergeCell ref="H183:H184"/>
    <mergeCell ref="I183:I184"/>
    <mergeCell ref="J183:J184"/>
    <mergeCell ref="K183:K184"/>
    <mergeCell ref="L183:L184"/>
    <mergeCell ref="M183:M184"/>
    <mergeCell ref="G185:G188"/>
    <mergeCell ref="H185:H188"/>
    <mergeCell ref="I185:I188"/>
    <mergeCell ref="J185:J188"/>
    <mergeCell ref="K185:K188"/>
    <mergeCell ref="L185:L188"/>
    <mergeCell ref="M185:M188"/>
    <mergeCell ref="G175:G178"/>
    <mergeCell ref="H175:H178"/>
    <mergeCell ref="I175:I178"/>
    <mergeCell ref="J175:J178"/>
    <mergeCell ref="K175:K178"/>
    <mergeCell ref="L175:L178"/>
    <mergeCell ref="M175:M178"/>
    <mergeCell ref="C178:C180"/>
    <mergeCell ref="D178:D180"/>
    <mergeCell ref="G179:G182"/>
    <mergeCell ref="H179:H182"/>
    <mergeCell ref="I179:I182"/>
    <mergeCell ref="J179:J182"/>
    <mergeCell ref="K179:K182"/>
    <mergeCell ref="L179:L182"/>
    <mergeCell ref="M179:M182"/>
    <mergeCell ref="G165:G170"/>
    <mergeCell ref="H165:H170"/>
    <mergeCell ref="I165:I170"/>
    <mergeCell ref="J165:J170"/>
    <mergeCell ref="K165:K170"/>
    <mergeCell ref="L165:L170"/>
    <mergeCell ref="M165:M170"/>
    <mergeCell ref="G171:G174"/>
    <mergeCell ref="H171:H174"/>
    <mergeCell ref="I171:I174"/>
    <mergeCell ref="J171:J174"/>
    <mergeCell ref="K171:K174"/>
    <mergeCell ref="L171:L174"/>
    <mergeCell ref="M171:M174"/>
    <mergeCell ref="G157:G160"/>
    <mergeCell ref="H157:H160"/>
    <mergeCell ref="I157:I160"/>
    <mergeCell ref="J157:J160"/>
    <mergeCell ref="K157:K160"/>
    <mergeCell ref="L157:L160"/>
    <mergeCell ref="M157:M160"/>
    <mergeCell ref="G161:G164"/>
    <mergeCell ref="H161:H164"/>
    <mergeCell ref="I161:I164"/>
    <mergeCell ref="J161:J164"/>
    <mergeCell ref="K161:K164"/>
    <mergeCell ref="L161:L164"/>
    <mergeCell ref="M161:M164"/>
    <mergeCell ref="C147:C148"/>
    <mergeCell ref="D147:D148"/>
    <mergeCell ref="G153:G156"/>
    <mergeCell ref="H153:H156"/>
    <mergeCell ref="I153:I156"/>
    <mergeCell ref="J153:J156"/>
    <mergeCell ref="K153:K156"/>
    <mergeCell ref="L153:L156"/>
    <mergeCell ref="M153:M156"/>
    <mergeCell ref="C154:C155"/>
    <mergeCell ref="D154:D155"/>
    <mergeCell ref="O144:Q144"/>
    <mergeCell ref="S144:W144"/>
    <mergeCell ref="G146:G149"/>
    <mergeCell ref="H146:H149"/>
    <mergeCell ref="I146:I149"/>
    <mergeCell ref="J146:J149"/>
    <mergeCell ref="K146:K149"/>
    <mergeCell ref="L146:L149"/>
    <mergeCell ref="M146:M149"/>
    <mergeCell ref="G137:G138"/>
    <mergeCell ref="H137:H138"/>
    <mergeCell ref="I137:I138"/>
    <mergeCell ref="J137:J138"/>
    <mergeCell ref="K137:K138"/>
    <mergeCell ref="L137:L138"/>
    <mergeCell ref="M137:M138"/>
    <mergeCell ref="B144:E144"/>
    <mergeCell ref="H144:M144"/>
    <mergeCell ref="M130:M131"/>
    <mergeCell ref="M133:M134"/>
    <mergeCell ref="G135:G136"/>
    <mergeCell ref="H135:H136"/>
    <mergeCell ref="I135:I136"/>
    <mergeCell ref="J135:J136"/>
    <mergeCell ref="K135:K136"/>
    <mergeCell ref="L135:L136"/>
    <mergeCell ref="M135:M136"/>
    <mergeCell ref="M122:M125"/>
    <mergeCell ref="M126:M127"/>
    <mergeCell ref="G128:G129"/>
    <mergeCell ref="H128:H129"/>
    <mergeCell ref="I128:I129"/>
    <mergeCell ref="J128:J129"/>
    <mergeCell ref="K128:K129"/>
    <mergeCell ref="L128:L129"/>
    <mergeCell ref="M128:M129"/>
    <mergeCell ref="G122:G125"/>
    <mergeCell ref="H122:H125"/>
    <mergeCell ref="I122:I125"/>
    <mergeCell ref="J122:J125"/>
    <mergeCell ref="K122:K125"/>
    <mergeCell ref="L122:L125"/>
    <mergeCell ref="G133:G134"/>
    <mergeCell ref="H133:H134"/>
    <mergeCell ref="I133:I134"/>
    <mergeCell ref="J133:J134"/>
    <mergeCell ref="K133:K134"/>
    <mergeCell ref="L133:L134"/>
    <mergeCell ref="G126:G127"/>
    <mergeCell ref="H126:H127"/>
    <mergeCell ref="M114:M115"/>
    <mergeCell ref="I116:I117"/>
    <mergeCell ref="M116:M117"/>
    <mergeCell ref="H118:H119"/>
    <mergeCell ref="I118:I119"/>
    <mergeCell ref="K118:K119"/>
    <mergeCell ref="L118:L119"/>
    <mergeCell ref="M118:M119"/>
    <mergeCell ref="H120:H121"/>
    <mergeCell ref="I120:I121"/>
    <mergeCell ref="K120:K121"/>
    <mergeCell ref="L120:L121"/>
    <mergeCell ref="M120:M121"/>
    <mergeCell ref="M90:M93"/>
    <mergeCell ref="M96:M99"/>
    <mergeCell ref="M100:M103"/>
    <mergeCell ref="M104:M107"/>
    <mergeCell ref="H96:H99"/>
    <mergeCell ref="I96:I99"/>
    <mergeCell ref="J96:J99"/>
    <mergeCell ref="K96:K99"/>
    <mergeCell ref="L96:L99"/>
    <mergeCell ref="G108:G111"/>
    <mergeCell ref="H108:H111"/>
    <mergeCell ref="I108:I111"/>
    <mergeCell ref="J108:J111"/>
    <mergeCell ref="K108:K111"/>
    <mergeCell ref="L108:L111"/>
    <mergeCell ref="M108:M111"/>
    <mergeCell ref="M64:M67"/>
    <mergeCell ref="M68:M71"/>
    <mergeCell ref="M72:M75"/>
    <mergeCell ref="M76:M79"/>
    <mergeCell ref="M80:M83"/>
    <mergeCell ref="G85:G88"/>
    <mergeCell ref="H85:H88"/>
    <mergeCell ref="I85:I88"/>
    <mergeCell ref="J85:J88"/>
    <mergeCell ref="K85:K88"/>
    <mergeCell ref="L85:L88"/>
    <mergeCell ref="M85:M88"/>
    <mergeCell ref="G100:G103"/>
    <mergeCell ref="H100:H103"/>
    <mergeCell ref="I100:I103"/>
    <mergeCell ref="J100:J103"/>
    <mergeCell ref="K100:K103"/>
    <mergeCell ref="L100:L103"/>
    <mergeCell ref="G104:G107"/>
    <mergeCell ref="H104:H107"/>
    <mergeCell ref="I104:I107"/>
    <mergeCell ref="J104:J107"/>
    <mergeCell ref="K104:K107"/>
    <mergeCell ref="L104:L107"/>
    <mergeCell ref="G96:G99"/>
    <mergeCell ref="M41:M42"/>
    <mergeCell ref="M43:M46"/>
    <mergeCell ref="M47:M48"/>
    <mergeCell ref="M49:M50"/>
    <mergeCell ref="B51:E51"/>
    <mergeCell ref="M51:M54"/>
    <mergeCell ref="D53:D55"/>
    <mergeCell ref="M56:M59"/>
    <mergeCell ref="M60:M63"/>
    <mergeCell ref="M11:M14"/>
    <mergeCell ref="D13:D14"/>
    <mergeCell ref="M15:M18"/>
    <mergeCell ref="M19:M22"/>
    <mergeCell ref="M23:M28"/>
    <mergeCell ref="M29:M32"/>
    <mergeCell ref="M33:M36"/>
    <mergeCell ref="D36:D38"/>
    <mergeCell ref="M37:M40"/>
    <mergeCell ref="G49:G50"/>
    <mergeCell ref="H49:H50"/>
    <mergeCell ref="I49:I50"/>
    <mergeCell ref="J49:J50"/>
    <mergeCell ref="K49:K50"/>
    <mergeCell ref="L49:L50"/>
    <mergeCell ref="G51:G54"/>
    <mergeCell ref="H51:H54"/>
    <mergeCell ref="I51:I54"/>
    <mergeCell ref="J51:J54"/>
    <mergeCell ref="K51:K54"/>
    <mergeCell ref="L51:L54"/>
    <mergeCell ref="G43:G46"/>
    <mergeCell ref="H43:H46"/>
    <mergeCell ref="I126:I127"/>
    <mergeCell ref="J126:J127"/>
    <mergeCell ref="K126:K127"/>
    <mergeCell ref="L126:L127"/>
    <mergeCell ref="K114:K115"/>
    <mergeCell ref="L114:L115"/>
    <mergeCell ref="H116:H117"/>
    <mergeCell ref="K116:K117"/>
    <mergeCell ref="L116:L117"/>
    <mergeCell ref="G114:G115"/>
    <mergeCell ref="H114:H115"/>
    <mergeCell ref="J114:J115"/>
    <mergeCell ref="G130:G131"/>
    <mergeCell ref="H130:H131"/>
    <mergeCell ref="I130:I131"/>
    <mergeCell ref="J130:J131"/>
    <mergeCell ref="K130:K131"/>
    <mergeCell ref="L130:L131"/>
    <mergeCell ref="G90:G93"/>
    <mergeCell ref="H90:H93"/>
    <mergeCell ref="I90:I93"/>
    <mergeCell ref="J90:J93"/>
    <mergeCell ref="K90:K93"/>
    <mergeCell ref="L90:L93"/>
    <mergeCell ref="G80:G83"/>
    <mergeCell ref="H80:H83"/>
    <mergeCell ref="I80:I83"/>
    <mergeCell ref="J80:J83"/>
    <mergeCell ref="K80:K83"/>
    <mergeCell ref="L80:L83"/>
    <mergeCell ref="G72:G75"/>
    <mergeCell ref="H72:H75"/>
    <mergeCell ref="I72:I75"/>
    <mergeCell ref="J72:J75"/>
    <mergeCell ref="K72:K75"/>
    <mergeCell ref="L72:L75"/>
    <mergeCell ref="G76:G79"/>
    <mergeCell ref="H76:H79"/>
    <mergeCell ref="I76:I79"/>
    <mergeCell ref="J76:J79"/>
    <mergeCell ref="K76:K79"/>
    <mergeCell ref="L76:L79"/>
    <mergeCell ref="G64:G67"/>
    <mergeCell ref="H64:H67"/>
    <mergeCell ref="I64:I67"/>
    <mergeCell ref="J64:J67"/>
    <mergeCell ref="K64:K67"/>
    <mergeCell ref="L64:L67"/>
    <mergeCell ref="G68:G71"/>
    <mergeCell ref="H68:H71"/>
    <mergeCell ref="I68:I71"/>
    <mergeCell ref="J68:J71"/>
    <mergeCell ref="K68:K71"/>
    <mergeCell ref="L68:L71"/>
    <mergeCell ref="G56:G59"/>
    <mergeCell ref="H56:H59"/>
    <mergeCell ref="I56:I59"/>
    <mergeCell ref="J56:J59"/>
    <mergeCell ref="K56:K59"/>
    <mergeCell ref="L56:L59"/>
    <mergeCell ref="G60:G63"/>
    <mergeCell ref="H60:H63"/>
    <mergeCell ref="I60:I63"/>
    <mergeCell ref="J60:J63"/>
    <mergeCell ref="K60:K63"/>
    <mergeCell ref="L60:L63"/>
    <mergeCell ref="I43:I46"/>
    <mergeCell ref="J43:J46"/>
    <mergeCell ref="K43:K46"/>
    <mergeCell ref="L43:L46"/>
    <mergeCell ref="G47:G48"/>
    <mergeCell ref="H47:H48"/>
    <mergeCell ref="I47:I48"/>
    <mergeCell ref="J47:J48"/>
    <mergeCell ref="K47:K48"/>
    <mergeCell ref="L47:L48"/>
    <mergeCell ref="G37:G40"/>
    <mergeCell ref="H37:H40"/>
    <mergeCell ref="I37:I40"/>
    <mergeCell ref="J37:J40"/>
    <mergeCell ref="K37:K40"/>
    <mergeCell ref="L37:L40"/>
    <mergeCell ref="G41:G42"/>
    <mergeCell ref="H41:H42"/>
    <mergeCell ref="I41:I42"/>
    <mergeCell ref="J41:J42"/>
    <mergeCell ref="K41:K42"/>
    <mergeCell ref="L41:L42"/>
    <mergeCell ref="K29:K32"/>
    <mergeCell ref="L29:L32"/>
    <mergeCell ref="G33:G36"/>
    <mergeCell ref="H33:H36"/>
    <mergeCell ref="I33:I36"/>
    <mergeCell ref="J33:J36"/>
    <mergeCell ref="K33:K36"/>
    <mergeCell ref="L33:L36"/>
    <mergeCell ref="G19:G22"/>
    <mergeCell ref="H19:H22"/>
    <mergeCell ref="I19:I22"/>
    <mergeCell ref="J19:J22"/>
    <mergeCell ref="K19:K22"/>
    <mergeCell ref="L19:L22"/>
    <mergeCell ref="G23:G28"/>
    <mergeCell ref="H23:H28"/>
    <mergeCell ref="I23:I28"/>
    <mergeCell ref="J23:J28"/>
    <mergeCell ref="K23:K28"/>
    <mergeCell ref="L23:L28"/>
    <mergeCell ref="H3:M3"/>
    <mergeCell ref="O3:Q3"/>
    <mergeCell ref="S3:W3"/>
    <mergeCell ref="M5:M8"/>
    <mergeCell ref="C36:C38"/>
    <mergeCell ref="C6:C7"/>
    <mergeCell ref="C13:C14"/>
    <mergeCell ref="C53:C55"/>
    <mergeCell ref="B3:E3"/>
    <mergeCell ref="D6:D7"/>
    <mergeCell ref="G11:G14"/>
    <mergeCell ref="H11:H14"/>
    <mergeCell ref="I11:I14"/>
    <mergeCell ref="J11:J14"/>
    <mergeCell ref="K11:K14"/>
    <mergeCell ref="L11:L14"/>
    <mergeCell ref="G15:G18"/>
    <mergeCell ref="H15:H18"/>
    <mergeCell ref="I15:I18"/>
    <mergeCell ref="J15:J18"/>
    <mergeCell ref="K15:K18"/>
    <mergeCell ref="L15:L18"/>
    <mergeCell ref="G5:G8"/>
    <mergeCell ref="H5:H8"/>
    <mergeCell ref="I5:I8"/>
    <mergeCell ref="J5:J8"/>
    <mergeCell ref="K5:K8"/>
    <mergeCell ref="L5:L8"/>
    <mergeCell ref="G29:G32"/>
    <mergeCell ref="H29:H32"/>
    <mergeCell ref="I29:I32"/>
    <mergeCell ref="J29:J32"/>
  </mergeCells>
  <phoneticPr fontId="5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076BB-EE0D-454B-9DED-0FD66234708B}">
  <dimension ref="A1:F33"/>
  <sheetViews>
    <sheetView workbookViewId="0">
      <selection activeCell="B3" sqref="B3"/>
    </sheetView>
  </sheetViews>
  <sheetFormatPr baseColWidth="10" defaultRowHeight="15"/>
  <cols>
    <col min="2" max="6" width="18.5703125" customWidth="1"/>
  </cols>
  <sheetData>
    <row r="1" spans="1:6">
      <c r="B1" s="795" t="s">
        <v>825</v>
      </c>
      <c r="C1" s="795"/>
      <c r="D1" s="795"/>
      <c r="E1" s="795"/>
      <c r="F1" s="795"/>
    </row>
    <row r="2" spans="1:6">
      <c r="B2" s="449" t="s">
        <v>826</v>
      </c>
      <c r="C2" s="449" t="s">
        <v>827</v>
      </c>
      <c r="D2" s="449" t="s">
        <v>828</v>
      </c>
      <c r="E2" s="449" t="s">
        <v>829</v>
      </c>
      <c r="F2" s="449" t="s">
        <v>830</v>
      </c>
    </row>
    <row r="3" spans="1:6">
      <c r="A3" s="447">
        <v>1</v>
      </c>
      <c r="B3" s="448"/>
      <c r="C3" s="448"/>
      <c r="D3" s="448"/>
      <c r="E3" s="448"/>
      <c r="F3" s="448"/>
    </row>
    <row r="4" spans="1:6">
      <c r="A4" s="447">
        <v>2</v>
      </c>
      <c r="B4" s="448"/>
      <c r="C4" s="448"/>
      <c r="D4" s="448"/>
      <c r="E4" s="448"/>
      <c r="F4" s="448"/>
    </row>
    <row r="5" spans="1:6">
      <c r="A5" s="447">
        <v>3</v>
      </c>
      <c r="B5" s="448"/>
      <c r="C5" s="448"/>
      <c r="D5" s="448"/>
      <c r="E5" s="448"/>
      <c r="F5" s="448"/>
    </row>
    <row r="6" spans="1:6">
      <c r="A6" s="447">
        <v>4</v>
      </c>
      <c r="B6" s="448"/>
      <c r="C6" s="448"/>
      <c r="D6" s="448"/>
      <c r="E6" s="448"/>
      <c r="F6" s="448"/>
    </row>
    <row r="7" spans="1:6">
      <c r="A7" s="447">
        <v>5</v>
      </c>
      <c r="B7" s="448"/>
      <c r="C7" s="448"/>
      <c r="D7" s="448"/>
      <c r="E7" s="448"/>
      <c r="F7" s="448"/>
    </row>
    <row r="8" spans="1:6">
      <c r="A8" s="447">
        <v>6</v>
      </c>
      <c r="B8" s="448"/>
      <c r="C8" s="448"/>
      <c r="D8" s="448"/>
      <c r="E8" s="448"/>
      <c r="F8" s="448"/>
    </row>
    <row r="9" spans="1:6">
      <c r="A9" s="447">
        <v>7</v>
      </c>
      <c r="B9" s="448"/>
      <c r="C9" s="448"/>
      <c r="D9" s="448"/>
      <c r="E9" s="448"/>
      <c r="F9" s="448"/>
    </row>
    <row r="10" spans="1:6">
      <c r="A10" s="447">
        <v>8</v>
      </c>
      <c r="B10" s="448"/>
      <c r="C10" s="448"/>
      <c r="D10" s="448"/>
      <c r="E10" s="448"/>
      <c r="F10" s="448"/>
    </row>
    <row r="11" spans="1:6">
      <c r="A11" s="447">
        <v>9</v>
      </c>
      <c r="B11" s="448"/>
      <c r="C11" s="448"/>
      <c r="D11" s="448"/>
      <c r="E11" s="448"/>
      <c r="F11" s="448"/>
    </row>
    <row r="12" spans="1:6">
      <c r="A12" s="447">
        <v>10</v>
      </c>
      <c r="B12" s="448"/>
      <c r="C12" s="448"/>
      <c r="D12" s="448"/>
      <c r="E12" s="448"/>
      <c r="F12" s="448"/>
    </row>
    <row r="13" spans="1:6">
      <c r="A13" s="447">
        <v>11</v>
      </c>
      <c r="B13" s="448"/>
      <c r="C13" s="448"/>
      <c r="D13" s="448"/>
      <c r="E13" s="448"/>
      <c r="F13" s="448"/>
    </row>
    <row r="14" spans="1:6">
      <c r="A14" s="447">
        <v>12</v>
      </c>
      <c r="B14" s="448"/>
      <c r="C14" s="448"/>
      <c r="D14" s="448"/>
      <c r="E14" s="448"/>
      <c r="F14" s="448"/>
    </row>
    <row r="15" spans="1:6">
      <c r="A15" s="447">
        <v>13</v>
      </c>
      <c r="B15" s="448"/>
      <c r="C15" s="448"/>
      <c r="D15" s="448"/>
      <c r="E15" s="448"/>
      <c r="F15" s="448"/>
    </row>
    <row r="16" spans="1:6">
      <c r="A16" s="447">
        <v>14</v>
      </c>
      <c r="B16" s="448"/>
      <c r="C16" s="448"/>
      <c r="D16" s="448"/>
      <c r="E16" s="448"/>
      <c r="F16" s="448"/>
    </row>
    <row r="17" spans="1:6">
      <c r="A17" s="447">
        <v>15</v>
      </c>
      <c r="B17" s="448"/>
      <c r="C17" s="448"/>
      <c r="D17" s="448"/>
      <c r="E17" s="448"/>
      <c r="F17" s="448"/>
    </row>
    <row r="18" spans="1:6">
      <c r="A18" s="447">
        <v>16</v>
      </c>
      <c r="B18" s="448"/>
      <c r="C18" s="448"/>
      <c r="D18" s="448"/>
      <c r="E18" s="448"/>
      <c r="F18" s="448"/>
    </row>
    <row r="19" spans="1:6">
      <c r="A19" s="447">
        <v>17</v>
      </c>
      <c r="B19" s="448"/>
      <c r="C19" s="448"/>
      <c r="D19" s="448"/>
      <c r="E19" s="448"/>
      <c r="F19" s="448"/>
    </row>
    <row r="20" spans="1:6">
      <c r="A20" s="447">
        <v>18</v>
      </c>
      <c r="B20" s="448"/>
      <c r="C20" s="448"/>
      <c r="D20" s="448"/>
      <c r="E20" s="448"/>
      <c r="F20" s="448"/>
    </row>
    <row r="21" spans="1:6">
      <c r="A21" s="447">
        <v>19</v>
      </c>
      <c r="B21" s="448"/>
      <c r="C21" s="448"/>
      <c r="D21" s="448"/>
      <c r="E21" s="448"/>
      <c r="F21" s="448"/>
    </row>
    <row r="22" spans="1:6">
      <c r="A22" s="447">
        <v>20</v>
      </c>
      <c r="B22" s="448"/>
      <c r="C22" s="448"/>
      <c r="D22" s="448"/>
      <c r="E22" s="448"/>
      <c r="F22" s="448"/>
    </row>
    <row r="23" spans="1:6">
      <c r="A23" s="447">
        <v>21</v>
      </c>
      <c r="B23" s="448"/>
      <c r="C23" s="448"/>
      <c r="D23" s="448"/>
      <c r="E23" s="448"/>
      <c r="F23" s="448"/>
    </row>
    <row r="24" spans="1:6">
      <c r="A24" s="447">
        <v>22</v>
      </c>
      <c r="B24" s="448"/>
      <c r="C24" s="448"/>
      <c r="D24" s="448"/>
      <c r="E24" s="448"/>
      <c r="F24" s="448"/>
    </row>
    <row r="25" spans="1:6">
      <c r="A25" s="447">
        <v>23</v>
      </c>
      <c r="B25" s="448"/>
      <c r="C25" s="448"/>
      <c r="D25" s="448"/>
      <c r="E25" s="448"/>
      <c r="F25" s="448"/>
    </row>
    <row r="26" spans="1:6">
      <c r="A26" s="447">
        <v>24</v>
      </c>
      <c r="B26" s="448"/>
      <c r="C26" s="448"/>
      <c r="D26" s="448"/>
      <c r="E26" s="448"/>
      <c r="F26" s="448"/>
    </row>
    <row r="27" spans="1:6">
      <c r="A27" s="447">
        <v>25</v>
      </c>
      <c r="B27" s="448"/>
      <c r="C27" s="448"/>
      <c r="D27" s="448"/>
      <c r="E27" s="448"/>
      <c r="F27" s="448"/>
    </row>
    <row r="28" spans="1:6">
      <c r="A28" s="447">
        <v>26</v>
      </c>
      <c r="B28" s="448"/>
      <c r="C28" s="448"/>
      <c r="D28" s="448"/>
      <c r="E28" s="448"/>
      <c r="F28" s="448"/>
    </row>
    <row r="29" spans="1:6">
      <c r="A29" s="447">
        <v>27</v>
      </c>
      <c r="B29" s="448"/>
      <c r="C29" s="448"/>
      <c r="D29" s="448"/>
      <c r="E29" s="448"/>
      <c r="F29" s="448"/>
    </row>
    <row r="30" spans="1:6">
      <c r="A30" s="447">
        <v>28</v>
      </c>
      <c r="B30" s="448"/>
      <c r="C30" s="448"/>
      <c r="D30" s="448"/>
      <c r="E30" s="448"/>
      <c r="F30" s="448"/>
    </row>
    <row r="31" spans="1:6">
      <c r="A31" s="447">
        <v>29</v>
      </c>
      <c r="B31" s="448"/>
      <c r="C31" s="448"/>
      <c r="D31" s="448"/>
      <c r="E31" s="448"/>
      <c r="F31" s="448"/>
    </row>
    <row r="32" spans="1:6">
      <c r="A32" s="447">
        <v>30</v>
      </c>
      <c r="B32" s="448"/>
      <c r="C32" s="448"/>
      <c r="D32" s="448"/>
      <c r="E32" s="448"/>
      <c r="F32" s="448"/>
    </row>
    <row r="33" spans="1:6">
      <c r="A33" s="447">
        <v>31</v>
      </c>
      <c r="B33" s="448"/>
      <c r="C33" s="448"/>
      <c r="D33" s="448"/>
      <c r="E33" s="448"/>
      <c r="F33" s="448"/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B1:AV113"/>
  <sheetViews>
    <sheetView zoomScale="80" zoomScaleNormal="80" workbookViewId="0">
      <pane ySplit="6" topLeftCell="A7" activePane="bottomLeft" state="frozen"/>
      <selection pane="bottomLeft" activeCell="F17" sqref="F17"/>
    </sheetView>
  </sheetViews>
  <sheetFormatPr baseColWidth="10" defaultColWidth="11" defaultRowHeight="15"/>
  <cols>
    <col min="1" max="1" width="3.42578125" style="132" customWidth="1"/>
    <col min="2" max="2" width="14.28515625" style="132" customWidth="1"/>
    <col min="3" max="3" width="14.85546875" style="132" bestFit="1" customWidth="1"/>
    <col min="4" max="4" width="16.85546875" style="132" bestFit="1" customWidth="1"/>
    <col min="5" max="5" width="22.28515625" style="132" bestFit="1" customWidth="1"/>
    <col min="6" max="6" width="23.42578125" style="132" customWidth="1"/>
    <col min="7" max="13" width="3.42578125" style="132" customWidth="1"/>
    <col min="14" max="14" width="5.5703125" style="500" customWidth="1"/>
    <col min="15" max="15" width="3.7109375" style="132" customWidth="1"/>
    <col min="16" max="20" width="3.42578125" style="132" customWidth="1"/>
    <col min="21" max="21" width="4.28515625" style="132" customWidth="1"/>
    <col min="22" max="22" width="5.5703125" style="500" customWidth="1"/>
    <col min="23" max="27" width="3.42578125" style="132" customWidth="1"/>
    <col min="28" max="28" width="3.7109375" style="132" customWidth="1"/>
    <col min="29" max="29" width="3.42578125" style="132" customWidth="1"/>
    <col min="30" max="30" width="5.7109375" style="500" customWidth="1"/>
    <col min="31" max="37" width="3.42578125" style="132" customWidth="1"/>
    <col min="38" max="38" width="6.140625" style="500" customWidth="1"/>
    <col min="39" max="39" width="5.28515625" style="132" customWidth="1"/>
    <col min="40" max="42" width="3.42578125" style="132" customWidth="1"/>
    <col min="43" max="43" width="5.42578125" style="132" customWidth="1"/>
    <col min="44" max="45" width="3.42578125" style="132" customWidth="1"/>
    <col min="46" max="48" width="3.42578125" style="353" customWidth="1"/>
    <col min="49" max="16384" width="11" style="132"/>
  </cols>
  <sheetData>
    <row r="1" spans="2:48" ht="15.75" thickBot="1"/>
    <row r="2" spans="2:48">
      <c r="B2" s="664" t="e" vm="1">
        <v>#VALUE!</v>
      </c>
      <c r="C2" s="665"/>
      <c r="D2" s="666"/>
      <c r="E2" s="807" t="s">
        <v>97</v>
      </c>
      <c r="F2" s="808"/>
      <c r="G2" s="808"/>
      <c r="H2" s="808"/>
      <c r="I2" s="808"/>
      <c r="J2" s="808"/>
      <c r="K2" s="808"/>
      <c r="L2" s="808"/>
      <c r="M2" s="808"/>
      <c r="N2" s="808"/>
      <c r="O2" s="808"/>
      <c r="P2" s="809"/>
      <c r="Q2" s="664" t="s">
        <v>98</v>
      </c>
      <c r="R2" s="665"/>
      <c r="S2" s="665"/>
      <c r="T2" s="665"/>
      <c r="U2" s="665"/>
      <c r="V2" s="508"/>
      <c r="W2" s="313"/>
      <c r="X2" s="664" t="e" vm="2">
        <v>#VALUE!</v>
      </c>
      <c r="Y2" s="665"/>
      <c r="Z2" s="665"/>
      <c r="AA2" s="665"/>
      <c r="AB2" s="665"/>
      <c r="AC2" s="665"/>
      <c r="AD2" s="665"/>
      <c r="AE2" s="665"/>
      <c r="AF2" s="665"/>
      <c r="AG2" s="665"/>
      <c r="AH2" s="665"/>
      <c r="AI2" s="666"/>
    </row>
    <row r="3" spans="2:48">
      <c r="B3" s="649"/>
      <c r="C3" s="650"/>
      <c r="D3" s="651"/>
      <c r="E3" s="810"/>
      <c r="F3" s="811"/>
      <c r="G3" s="811"/>
      <c r="H3" s="811"/>
      <c r="I3" s="811"/>
      <c r="J3" s="811"/>
      <c r="K3" s="811"/>
      <c r="L3" s="811"/>
      <c r="M3" s="811"/>
      <c r="N3" s="811"/>
      <c r="O3" s="811"/>
      <c r="P3" s="812"/>
      <c r="Q3" s="649" t="s">
        <v>99</v>
      </c>
      <c r="R3" s="650"/>
      <c r="S3" s="650"/>
      <c r="T3" s="650"/>
      <c r="U3" s="650"/>
      <c r="V3" s="509"/>
      <c r="W3" s="314"/>
      <c r="X3" s="649"/>
      <c r="Y3" s="650"/>
      <c r="Z3" s="650"/>
      <c r="AA3" s="650"/>
      <c r="AB3" s="650"/>
      <c r="AC3" s="650"/>
      <c r="AD3" s="650"/>
      <c r="AE3" s="650"/>
      <c r="AF3" s="650"/>
      <c r="AG3" s="650"/>
      <c r="AH3" s="650"/>
      <c r="AI3" s="651"/>
    </row>
    <row r="4" spans="2:48" ht="15.75" thickBot="1">
      <c r="B4" s="649"/>
      <c r="C4" s="650"/>
      <c r="D4" s="651"/>
      <c r="E4" s="810"/>
      <c r="F4" s="811"/>
      <c r="G4" s="811"/>
      <c r="H4" s="811"/>
      <c r="I4" s="811"/>
      <c r="J4" s="811"/>
      <c r="K4" s="811"/>
      <c r="L4" s="811"/>
      <c r="M4" s="811"/>
      <c r="N4" s="811"/>
      <c r="O4" s="811"/>
      <c r="P4" s="812"/>
      <c r="Q4" s="649" t="s">
        <v>100</v>
      </c>
      <c r="R4" s="650"/>
      <c r="S4" s="650"/>
      <c r="T4" s="650"/>
      <c r="U4" s="650"/>
      <c r="V4" s="509"/>
      <c r="W4" s="314"/>
      <c r="X4" s="649"/>
      <c r="Y4" s="650"/>
      <c r="Z4" s="650"/>
      <c r="AA4" s="650"/>
      <c r="AB4" s="650"/>
      <c r="AC4" s="650"/>
      <c r="AD4" s="650"/>
      <c r="AE4" s="650"/>
      <c r="AF4" s="650"/>
      <c r="AG4" s="650"/>
      <c r="AH4" s="650"/>
      <c r="AI4" s="651"/>
      <c r="AT4" s="132"/>
    </row>
    <row r="5" spans="2:48" ht="15" customHeight="1">
      <c r="B5" s="658" t="s">
        <v>696</v>
      </c>
      <c r="C5" s="659"/>
      <c r="D5" s="659"/>
      <c r="E5" s="659"/>
      <c r="F5" s="659"/>
      <c r="G5" s="659"/>
      <c r="H5" s="659"/>
      <c r="I5" s="659"/>
      <c r="J5" s="659"/>
      <c r="K5" s="659"/>
      <c r="L5" s="659"/>
      <c r="M5" s="659"/>
      <c r="N5" s="659"/>
      <c r="O5" s="659"/>
      <c r="P5" s="659"/>
      <c r="Q5" s="659"/>
      <c r="R5" s="659"/>
      <c r="S5" s="659"/>
      <c r="T5" s="659"/>
      <c r="U5" s="659"/>
      <c r="V5" s="659"/>
      <c r="W5" s="659"/>
      <c r="X5" s="659"/>
      <c r="Y5" s="659"/>
      <c r="Z5" s="659"/>
      <c r="AA5" s="659"/>
      <c r="AB5" s="659"/>
      <c r="AC5" s="659"/>
      <c r="AD5" s="659"/>
      <c r="AE5" s="659"/>
      <c r="AF5" s="659"/>
      <c r="AG5" s="659"/>
      <c r="AH5" s="659"/>
      <c r="AI5" s="659"/>
      <c r="AJ5" s="659"/>
      <c r="AK5" s="659"/>
      <c r="AL5" s="659"/>
      <c r="AM5" s="659"/>
      <c r="AN5" s="659"/>
      <c r="AO5" s="659"/>
      <c r="AP5" s="659"/>
      <c r="AQ5" s="659"/>
      <c r="AR5" s="659"/>
      <c r="AS5" s="659"/>
      <c r="AT5" s="659"/>
      <c r="AU5" s="659"/>
      <c r="AV5" s="805"/>
    </row>
    <row r="6" spans="2:48" ht="15.75" customHeight="1" thickBot="1">
      <c r="B6" s="660"/>
      <c r="C6" s="661"/>
      <c r="D6" s="661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  <c r="P6" s="661"/>
      <c r="Q6" s="661"/>
      <c r="R6" s="661"/>
      <c r="S6" s="661"/>
      <c r="T6" s="661"/>
      <c r="U6" s="661"/>
      <c r="V6" s="661"/>
      <c r="W6" s="661"/>
      <c r="X6" s="661"/>
      <c r="Y6" s="661"/>
      <c r="Z6" s="661"/>
      <c r="AA6" s="661"/>
      <c r="AB6" s="661"/>
      <c r="AC6" s="661"/>
      <c r="AD6" s="661"/>
      <c r="AE6" s="661"/>
      <c r="AF6" s="661"/>
      <c r="AG6" s="661"/>
      <c r="AH6" s="661"/>
      <c r="AI6" s="661"/>
      <c r="AJ6" s="661"/>
      <c r="AK6" s="661"/>
      <c r="AL6" s="661"/>
      <c r="AM6" s="661"/>
      <c r="AN6" s="661"/>
      <c r="AO6" s="661"/>
      <c r="AP6" s="661"/>
      <c r="AQ6" s="661"/>
      <c r="AR6" s="661"/>
      <c r="AS6" s="661"/>
      <c r="AT6" s="661"/>
      <c r="AU6" s="661"/>
      <c r="AV6" s="806"/>
    </row>
    <row r="7" spans="2:48" ht="15.75" customHeight="1"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504"/>
      <c r="O7" s="220"/>
      <c r="P7" s="220"/>
      <c r="Q7" s="220"/>
      <c r="R7" s="220"/>
      <c r="S7" s="220"/>
      <c r="T7" s="220"/>
      <c r="U7" s="220"/>
      <c r="V7" s="504"/>
      <c r="W7" s="220"/>
      <c r="X7" s="220"/>
      <c r="Y7" s="220"/>
      <c r="Z7" s="220"/>
      <c r="AL7" s="504"/>
      <c r="AM7" s="353"/>
      <c r="AN7" s="353"/>
      <c r="AT7" s="132"/>
      <c r="AU7" s="132"/>
      <c r="AV7" s="132"/>
    </row>
    <row r="8" spans="2:48" ht="15" customHeight="1">
      <c r="B8" s="676" t="s">
        <v>126</v>
      </c>
      <c r="C8" s="676" t="s">
        <v>127</v>
      </c>
      <c r="D8" s="528" t="s">
        <v>101</v>
      </c>
      <c r="E8" s="528" t="s">
        <v>128</v>
      </c>
      <c r="F8" s="528" t="s">
        <v>102</v>
      </c>
      <c r="G8" s="529" t="s">
        <v>103</v>
      </c>
      <c r="H8" s="529" t="s">
        <v>104</v>
      </c>
      <c r="I8" s="529" t="s">
        <v>104</v>
      </c>
      <c r="J8" s="529" t="s">
        <v>105</v>
      </c>
      <c r="K8" s="529" t="s">
        <v>106</v>
      </c>
      <c r="L8" s="529" t="s">
        <v>107</v>
      </c>
      <c r="M8" s="529" t="s">
        <v>108</v>
      </c>
      <c r="N8" s="797" t="s">
        <v>109</v>
      </c>
      <c r="O8" s="530" t="s">
        <v>103</v>
      </c>
      <c r="P8" s="530" t="s">
        <v>104</v>
      </c>
      <c r="Q8" s="530" t="s">
        <v>104</v>
      </c>
      <c r="R8" s="530" t="s">
        <v>105</v>
      </c>
      <c r="S8" s="530" t="s">
        <v>106</v>
      </c>
      <c r="T8" s="530" t="s">
        <v>107</v>
      </c>
      <c r="U8" s="530" t="s">
        <v>108</v>
      </c>
      <c r="V8" s="797" t="s">
        <v>109</v>
      </c>
      <c r="W8" s="531" t="s">
        <v>103</v>
      </c>
      <c r="X8" s="531" t="s">
        <v>104</v>
      </c>
      <c r="Y8" s="531" t="s">
        <v>104</v>
      </c>
      <c r="Z8" s="531" t="s">
        <v>105</v>
      </c>
      <c r="AA8" s="531" t="s">
        <v>106</v>
      </c>
      <c r="AB8" s="531" t="s">
        <v>107</v>
      </c>
      <c r="AC8" s="531" t="s">
        <v>108</v>
      </c>
      <c r="AD8" s="797" t="s">
        <v>109</v>
      </c>
      <c r="AE8" s="532" t="s">
        <v>103</v>
      </c>
      <c r="AF8" s="532" t="s">
        <v>104</v>
      </c>
      <c r="AG8" s="532" t="s">
        <v>104</v>
      </c>
      <c r="AH8" s="533" t="s">
        <v>105</v>
      </c>
      <c r="AI8" s="533" t="s">
        <v>106</v>
      </c>
      <c r="AJ8" s="533" t="s">
        <v>107</v>
      </c>
      <c r="AK8" s="533" t="s">
        <v>108</v>
      </c>
      <c r="AL8" s="796" t="s">
        <v>109</v>
      </c>
      <c r="AM8" s="642" t="s">
        <v>129</v>
      </c>
      <c r="AN8" s="642" t="s">
        <v>111</v>
      </c>
      <c r="AT8" s="132"/>
      <c r="AU8" s="132"/>
      <c r="AV8" s="132"/>
    </row>
    <row r="9" spans="2:48">
      <c r="B9" s="676"/>
      <c r="C9" s="676"/>
      <c r="D9" s="528" t="s">
        <v>112</v>
      </c>
      <c r="E9" s="528" t="s">
        <v>845</v>
      </c>
      <c r="F9" s="528" t="s">
        <v>113</v>
      </c>
      <c r="G9" s="800">
        <v>7</v>
      </c>
      <c r="H9" s="800">
        <v>8</v>
      </c>
      <c r="I9" s="800">
        <v>9</v>
      </c>
      <c r="J9" s="800">
        <v>10</v>
      </c>
      <c r="K9" s="800">
        <v>11</v>
      </c>
      <c r="L9" s="800">
        <v>12</v>
      </c>
      <c r="M9" s="800">
        <v>13</v>
      </c>
      <c r="N9" s="798"/>
      <c r="O9" s="800">
        <v>14</v>
      </c>
      <c r="P9" s="800">
        <v>15</v>
      </c>
      <c r="Q9" s="800">
        <v>16</v>
      </c>
      <c r="R9" s="800">
        <v>17</v>
      </c>
      <c r="S9" s="800">
        <v>18</v>
      </c>
      <c r="T9" s="800">
        <v>19</v>
      </c>
      <c r="U9" s="800">
        <v>20</v>
      </c>
      <c r="V9" s="798"/>
      <c r="W9" s="800">
        <v>21</v>
      </c>
      <c r="X9" s="800">
        <v>22</v>
      </c>
      <c r="Y9" s="800">
        <v>23</v>
      </c>
      <c r="Z9" s="800">
        <v>24</v>
      </c>
      <c r="AA9" s="800">
        <v>25</v>
      </c>
      <c r="AB9" s="800">
        <v>26</v>
      </c>
      <c r="AC9" s="800">
        <v>27</v>
      </c>
      <c r="AD9" s="798"/>
      <c r="AE9" s="800">
        <v>28</v>
      </c>
      <c r="AF9" s="800">
        <v>29</v>
      </c>
      <c r="AG9" s="800">
        <v>30</v>
      </c>
      <c r="AH9" s="800">
        <v>1</v>
      </c>
      <c r="AI9" s="800">
        <v>2</v>
      </c>
      <c r="AJ9" s="800">
        <v>3</v>
      </c>
      <c r="AK9" s="800">
        <v>4</v>
      </c>
      <c r="AL9" s="796"/>
      <c r="AM9" s="642"/>
      <c r="AN9" s="642"/>
      <c r="AT9" s="132"/>
      <c r="AU9" s="132"/>
      <c r="AV9" s="132"/>
    </row>
    <row r="10" spans="2:48">
      <c r="B10" s="676"/>
      <c r="C10" s="676"/>
      <c r="D10" s="534" t="s">
        <v>42</v>
      </c>
      <c r="E10" s="555" t="s">
        <v>114</v>
      </c>
      <c r="F10" s="555" t="s">
        <v>115</v>
      </c>
      <c r="G10" s="801"/>
      <c r="H10" s="801"/>
      <c r="I10" s="801"/>
      <c r="J10" s="801"/>
      <c r="K10" s="801"/>
      <c r="L10" s="801"/>
      <c r="M10" s="801"/>
      <c r="N10" s="799"/>
      <c r="O10" s="801"/>
      <c r="P10" s="801"/>
      <c r="Q10" s="801"/>
      <c r="R10" s="801"/>
      <c r="S10" s="801"/>
      <c r="T10" s="801"/>
      <c r="U10" s="801"/>
      <c r="V10" s="799"/>
      <c r="W10" s="801"/>
      <c r="X10" s="801"/>
      <c r="Y10" s="801"/>
      <c r="Z10" s="801"/>
      <c r="AA10" s="801"/>
      <c r="AB10" s="801"/>
      <c r="AC10" s="801"/>
      <c r="AD10" s="799"/>
      <c r="AE10" s="801"/>
      <c r="AF10" s="801"/>
      <c r="AG10" s="801"/>
      <c r="AH10" s="801"/>
      <c r="AI10" s="801"/>
      <c r="AJ10" s="801"/>
      <c r="AK10" s="801"/>
      <c r="AL10" s="796"/>
      <c r="AM10" s="642"/>
      <c r="AN10" s="642"/>
      <c r="AT10" s="132"/>
      <c r="AU10" s="132"/>
      <c r="AV10" s="132"/>
    </row>
    <row r="11" spans="2:48">
      <c r="B11" s="662" t="s">
        <v>238</v>
      </c>
      <c r="C11" s="673">
        <v>1</v>
      </c>
      <c r="D11" s="551">
        <v>1</v>
      </c>
      <c r="E11" s="623" t="s">
        <v>798</v>
      </c>
      <c r="F11" s="623" t="s">
        <v>799</v>
      </c>
      <c r="G11" s="552" t="s">
        <v>108</v>
      </c>
      <c r="H11" s="537" t="s">
        <v>116</v>
      </c>
      <c r="I11" s="537" t="s">
        <v>116</v>
      </c>
      <c r="J11" s="538" t="s">
        <v>117</v>
      </c>
      <c r="K11" s="536" t="s">
        <v>108</v>
      </c>
      <c r="L11" s="536" t="s">
        <v>108</v>
      </c>
      <c r="M11" s="536" t="s">
        <v>108</v>
      </c>
      <c r="N11" s="557">
        <v>72</v>
      </c>
      <c r="O11" s="536" t="s">
        <v>116</v>
      </c>
      <c r="P11" s="537" t="s">
        <v>116</v>
      </c>
      <c r="Q11" s="537" t="s">
        <v>116</v>
      </c>
      <c r="R11" s="538" t="s">
        <v>117</v>
      </c>
      <c r="S11" s="536" t="s">
        <v>108</v>
      </c>
      <c r="T11" s="536" t="s">
        <v>108</v>
      </c>
      <c r="U11" s="536" t="s">
        <v>116</v>
      </c>
      <c r="V11" s="557">
        <v>72</v>
      </c>
      <c r="W11" s="537" t="s">
        <v>116</v>
      </c>
      <c r="X11" s="537" t="s">
        <v>116</v>
      </c>
      <c r="Y11" s="538" t="s">
        <v>117</v>
      </c>
      <c r="Z11" s="538" t="s">
        <v>117</v>
      </c>
      <c r="AA11" s="536" t="s">
        <v>108</v>
      </c>
      <c r="AB11" s="536" t="s">
        <v>108</v>
      </c>
      <c r="AC11" s="536" t="s">
        <v>108</v>
      </c>
      <c r="AD11" s="557">
        <v>60</v>
      </c>
      <c r="AE11" s="537" t="s">
        <v>116</v>
      </c>
      <c r="AF11" s="537" t="s">
        <v>116</v>
      </c>
      <c r="AG11" s="537" t="s">
        <v>116</v>
      </c>
      <c r="AH11" s="538" t="s">
        <v>117</v>
      </c>
      <c r="AI11" s="536" t="s">
        <v>108</v>
      </c>
      <c r="AJ11" s="537" t="s">
        <v>108</v>
      </c>
      <c r="AK11" s="537" t="s">
        <v>108</v>
      </c>
      <c r="AL11" s="539">
        <v>72</v>
      </c>
      <c r="AM11" s="540" t="e">
        <v>#REF!</v>
      </c>
      <c r="AN11" s="541">
        <v>20</v>
      </c>
      <c r="AT11" s="132"/>
      <c r="AU11" s="132"/>
      <c r="AV11" s="132"/>
    </row>
    <row r="12" spans="2:48">
      <c r="B12" s="662"/>
      <c r="C12" s="673"/>
      <c r="D12" s="551">
        <v>2</v>
      </c>
      <c r="E12" s="624" t="s">
        <v>420</v>
      </c>
      <c r="F12" s="623" t="s">
        <v>421</v>
      </c>
      <c r="G12" s="552" t="s">
        <v>108</v>
      </c>
      <c r="H12" s="536" t="s">
        <v>108</v>
      </c>
      <c r="I12" s="536" t="s">
        <v>108</v>
      </c>
      <c r="J12" s="536" t="s">
        <v>116</v>
      </c>
      <c r="K12" s="537" t="s">
        <v>116</v>
      </c>
      <c r="L12" s="538" t="s">
        <v>117</v>
      </c>
      <c r="M12" s="536" t="s">
        <v>108</v>
      </c>
      <c r="N12" s="558">
        <v>72</v>
      </c>
      <c r="O12" s="536" t="s">
        <v>108</v>
      </c>
      <c r="P12" s="536" t="s">
        <v>108</v>
      </c>
      <c r="Q12" s="536" t="s">
        <v>108</v>
      </c>
      <c r="R12" s="536" t="s">
        <v>116</v>
      </c>
      <c r="S12" s="537" t="s">
        <v>116</v>
      </c>
      <c r="T12" s="538" t="s">
        <v>117</v>
      </c>
      <c r="U12" s="538" t="s">
        <v>117</v>
      </c>
      <c r="V12" s="558">
        <v>60</v>
      </c>
      <c r="W12" s="536" t="s">
        <v>108</v>
      </c>
      <c r="X12" s="536" t="s">
        <v>108</v>
      </c>
      <c r="Y12" s="536" t="s">
        <v>116</v>
      </c>
      <c r="Z12" s="537" t="s">
        <v>116</v>
      </c>
      <c r="AA12" s="536" t="s">
        <v>116</v>
      </c>
      <c r="AB12" s="537" t="s">
        <v>116</v>
      </c>
      <c r="AC12" s="538" t="s">
        <v>117</v>
      </c>
      <c r="AD12" s="558">
        <v>72</v>
      </c>
      <c r="AE12" s="536" t="s">
        <v>108</v>
      </c>
      <c r="AF12" s="536" t="s">
        <v>108</v>
      </c>
      <c r="AG12" s="536" t="s">
        <v>108</v>
      </c>
      <c r="AH12" s="536" t="s">
        <v>116</v>
      </c>
      <c r="AI12" s="537" t="s">
        <v>116</v>
      </c>
      <c r="AJ12" s="537" t="s">
        <v>116</v>
      </c>
      <c r="AK12" s="538" t="s">
        <v>117</v>
      </c>
      <c r="AL12" s="539">
        <v>72</v>
      </c>
      <c r="AM12" s="541" t="e">
        <v>#REF!</v>
      </c>
      <c r="AN12" s="541">
        <v>20</v>
      </c>
      <c r="AT12" s="132"/>
      <c r="AU12" s="132"/>
      <c r="AV12" s="132"/>
    </row>
    <row r="13" spans="2:48">
      <c r="B13" s="662"/>
      <c r="C13" s="814">
        <v>2</v>
      </c>
      <c r="D13" s="551">
        <v>3</v>
      </c>
      <c r="E13" s="625" t="s">
        <v>561</v>
      </c>
      <c r="F13" s="625" t="s">
        <v>857</v>
      </c>
      <c r="G13" s="553" t="s">
        <v>108</v>
      </c>
      <c r="H13" s="536" t="s">
        <v>108</v>
      </c>
      <c r="I13" s="537" t="s">
        <v>116</v>
      </c>
      <c r="J13" s="537" t="s">
        <v>116</v>
      </c>
      <c r="K13" s="538" t="s">
        <v>117</v>
      </c>
      <c r="L13" s="536" t="s">
        <v>108</v>
      </c>
      <c r="M13" s="331" t="s">
        <v>117</v>
      </c>
      <c r="N13" s="558">
        <v>60</v>
      </c>
      <c r="O13" s="536" t="s">
        <v>108</v>
      </c>
      <c r="P13" s="537" t="s">
        <v>116</v>
      </c>
      <c r="Q13" s="537" t="s">
        <v>116</v>
      </c>
      <c r="R13" s="537" t="s">
        <v>116</v>
      </c>
      <c r="S13" s="538" t="s">
        <v>117</v>
      </c>
      <c r="T13" s="537" t="s">
        <v>108</v>
      </c>
      <c r="U13" s="536" t="s">
        <v>108</v>
      </c>
      <c r="V13" s="557">
        <v>72</v>
      </c>
      <c r="W13" s="536" t="s">
        <v>108</v>
      </c>
      <c r="X13" s="537" t="s">
        <v>116</v>
      </c>
      <c r="Y13" s="537" t="s">
        <v>116</v>
      </c>
      <c r="Z13" s="537" t="s">
        <v>116</v>
      </c>
      <c r="AA13" s="538" t="s">
        <v>117</v>
      </c>
      <c r="AB13" s="538" t="s">
        <v>117</v>
      </c>
      <c r="AC13" s="536" t="s">
        <v>108</v>
      </c>
      <c r="AD13" s="557">
        <v>60</v>
      </c>
      <c r="AE13" s="536" t="s">
        <v>108</v>
      </c>
      <c r="AF13" s="536" t="s">
        <v>116</v>
      </c>
      <c r="AG13" s="537" t="s">
        <v>116</v>
      </c>
      <c r="AH13" s="537" t="s">
        <v>116</v>
      </c>
      <c r="AI13" s="538" t="s">
        <v>117</v>
      </c>
      <c r="AJ13" s="524" t="s">
        <v>108</v>
      </c>
      <c r="AK13" s="537" t="s">
        <v>108</v>
      </c>
      <c r="AL13" s="539">
        <v>72</v>
      </c>
      <c r="AM13" s="541" t="e">
        <v>#REF!</v>
      </c>
      <c r="AN13" s="541">
        <v>20</v>
      </c>
      <c r="AT13" s="132"/>
      <c r="AU13" s="132"/>
      <c r="AV13" s="132"/>
    </row>
    <row r="14" spans="2:48">
      <c r="B14" s="662"/>
      <c r="C14" s="814"/>
      <c r="D14" s="551">
        <v>4</v>
      </c>
      <c r="E14" s="626" t="s">
        <v>396</v>
      </c>
      <c r="F14" s="627" t="s">
        <v>397</v>
      </c>
      <c r="G14" s="554" t="s">
        <v>117</v>
      </c>
      <c r="H14" s="542" t="s">
        <v>117</v>
      </c>
      <c r="I14" s="536" t="s">
        <v>108</v>
      </c>
      <c r="J14" s="536" t="s">
        <v>108</v>
      </c>
      <c r="K14" s="537" t="s">
        <v>116</v>
      </c>
      <c r="L14" s="559" t="s">
        <v>116</v>
      </c>
      <c r="M14" s="537" t="s">
        <v>116</v>
      </c>
      <c r="N14" s="558">
        <v>60</v>
      </c>
      <c r="O14" s="543" t="s">
        <v>117</v>
      </c>
      <c r="P14" s="536" t="s">
        <v>108</v>
      </c>
      <c r="Q14" s="536" t="s">
        <v>108</v>
      </c>
      <c r="R14" s="536" t="s">
        <v>108</v>
      </c>
      <c r="S14" s="537" t="s">
        <v>116</v>
      </c>
      <c r="T14" s="559" t="s">
        <v>116</v>
      </c>
      <c r="U14" s="331" t="s">
        <v>117</v>
      </c>
      <c r="V14" s="558">
        <v>60</v>
      </c>
      <c r="W14" s="538" t="s">
        <v>117</v>
      </c>
      <c r="X14" s="536" t="s">
        <v>108</v>
      </c>
      <c r="Y14" s="536" t="s">
        <v>108</v>
      </c>
      <c r="Z14" s="536" t="s">
        <v>116</v>
      </c>
      <c r="AA14" s="537" t="s">
        <v>116</v>
      </c>
      <c r="AB14" s="559" t="s">
        <v>116</v>
      </c>
      <c r="AC14" s="536" t="s">
        <v>116</v>
      </c>
      <c r="AD14" s="558">
        <v>72</v>
      </c>
      <c r="AE14" s="538" t="s">
        <v>117</v>
      </c>
      <c r="AF14" s="537" t="s">
        <v>108</v>
      </c>
      <c r="AG14" s="537" t="s">
        <v>108</v>
      </c>
      <c r="AH14" s="537" t="s">
        <v>108</v>
      </c>
      <c r="AI14" s="537" t="s">
        <v>116</v>
      </c>
      <c r="AJ14" s="559" t="s">
        <v>116</v>
      </c>
      <c r="AK14" s="537" t="s">
        <v>116</v>
      </c>
      <c r="AL14" s="539">
        <v>72</v>
      </c>
      <c r="AM14" s="540" t="e">
        <v>#REF!</v>
      </c>
      <c r="AN14" s="541">
        <v>20</v>
      </c>
      <c r="AT14" s="132"/>
      <c r="AU14" s="132"/>
      <c r="AV14" s="132"/>
    </row>
    <row r="15" spans="2:48">
      <c r="B15" s="662"/>
      <c r="C15" s="814"/>
      <c r="D15" s="551">
        <v>5</v>
      </c>
      <c r="E15" s="624" t="s">
        <v>424</v>
      </c>
      <c r="F15" s="624" t="s">
        <v>425</v>
      </c>
      <c r="G15" s="553" t="s">
        <v>116</v>
      </c>
      <c r="H15" s="537" t="s">
        <v>116</v>
      </c>
      <c r="I15" s="543" t="s">
        <v>117</v>
      </c>
      <c r="J15" s="536" t="s">
        <v>108</v>
      </c>
      <c r="K15" s="536" t="s">
        <v>108</v>
      </c>
      <c r="L15" s="537" t="s">
        <v>116</v>
      </c>
      <c r="M15" s="537" t="s">
        <v>116</v>
      </c>
      <c r="N15" s="557">
        <v>72</v>
      </c>
      <c r="O15" s="536" t="s">
        <v>116</v>
      </c>
      <c r="P15" s="538" t="s">
        <v>117</v>
      </c>
      <c r="Q15" s="538" t="s">
        <v>117</v>
      </c>
      <c r="R15" s="537" t="s">
        <v>108</v>
      </c>
      <c r="S15" s="536" t="s">
        <v>108</v>
      </c>
      <c r="T15" s="536" t="s">
        <v>116</v>
      </c>
      <c r="U15" s="536" t="s">
        <v>116</v>
      </c>
      <c r="V15" s="557">
        <v>60</v>
      </c>
      <c r="W15" s="536" t="s">
        <v>116</v>
      </c>
      <c r="X15" s="538" t="s">
        <v>117</v>
      </c>
      <c r="Y15" s="536" t="s">
        <v>108</v>
      </c>
      <c r="Z15" s="536" t="s">
        <v>108</v>
      </c>
      <c r="AA15" s="536" t="s">
        <v>116</v>
      </c>
      <c r="AB15" s="536" t="s">
        <v>116</v>
      </c>
      <c r="AC15" s="537" t="s">
        <v>116</v>
      </c>
      <c r="AD15" s="557">
        <v>72</v>
      </c>
      <c r="AE15" s="537" t="s">
        <v>116</v>
      </c>
      <c r="AF15" s="538" t="s">
        <v>117</v>
      </c>
      <c r="AG15" s="538" t="s">
        <v>117</v>
      </c>
      <c r="AH15" s="536" t="s">
        <v>108</v>
      </c>
      <c r="AI15" s="536" t="s">
        <v>108</v>
      </c>
      <c r="AJ15" s="536" t="s">
        <v>116</v>
      </c>
      <c r="AK15" s="536" t="s">
        <v>116</v>
      </c>
      <c r="AL15" s="539">
        <v>60</v>
      </c>
      <c r="AM15" s="541" t="e">
        <v>#REF!</v>
      </c>
      <c r="AN15" s="541">
        <v>20</v>
      </c>
      <c r="AT15" s="132"/>
      <c r="AU15" s="132"/>
      <c r="AV15" s="132"/>
    </row>
    <row r="16" spans="2:48">
      <c r="B16" s="662"/>
      <c r="C16" s="815">
        <v>3</v>
      </c>
      <c r="D16" s="551">
        <v>6</v>
      </c>
      <c r="E16" s="624" t="s">
        <v>434</v>
      </c>
      <c r="F16" s="624" t="s">
        <v>435</v>
      </c>
      <c r="G16" s="552" t="s">
        <v>116</v>
      </c>
      <c r="H16" s="537" t="s">
        <v>116</v>
      </c>
      <c r="I16" s="537" t="s">
        <v>116</v>
      </c>
      <c r="J16" s="538" t="s">
        <v>117</v>
      </c>
      <c r="K16" s="332" t="s">
        <v>117</v>
      </c>
      <c r="L16" s="536" t="s">
        <v>108</v>
      </c>
      <c r="M16" s="536" t="s">
        <v>108</v>
      </c>
      <c r="N16" s="558">
        <v>60</v>
      </c>
      <c r="O16" s="536" t="s">
        <v>116</v>
      </c>
      <c r="P16" s="537" t="s">
        <v>116</v>
      </c>
      <c r="Q16" s="537" t="s">
        <v>116</v>
      </c>
      <c r="R16" s="538" t="s">
        <v>117</v>
      </c>
      <c r="S16" s="536" t="s">
        <v>108</v>
      </c>
      <c r="T16" s="536" t="s">
        <v>108</v>
      </c>
      <c r="U16" s="536" t="s">
        <v>108</v>
      </c>
      <c r="V16" s="557">
        <v>72</v>
      </c>
      <c r="W16" s="537" t="s">
        <v>116</v>
      </c>
      <c r="X16" s="537" t="s">
        <v>116</v>
      </c>
      <c r="Y16" s="538" t="s">
        <v>117</v>
      </c>
      <c r="Z16" s="538" t="s">
        <v>117</v>
      </c>
      <c r="AA16" s="536" t="s">
        <v>108</v>
      </c>
      <c r="AB16" s="536" t="s">
        <v>108</v>
      </c>
      <c r="AC16" s="536" t="s">
        <v>108</v>
      </c>
      <c r="AD16" s="557">
        <v>60</v>
      </c>
      <c r="AE16" s="537" t="s">
        <v>108</v>
      </c>
      <c r="AF16" s="537" t="s">
        <v>116</v>
      </c>
      <c r="AG16" s="537" t="s">
        <v>116</v>
      </c>
      <c r="AH16" s="538" t="s">
        <v>117</v>
      </c>
      <c r="AI16" s="536" t="s">
        <v>108</v>
      </c>
      <c r="AJ16" s="537" t="s">
        <v>108</v>
      </c>
      <c r="AK16" s="537" t="s">
        <v>108</v>
      </c>
      <c r="AL16" s="539">
        <v>72</v>
      </c>
      <c r="AM16" s="540" t="e">
        <v>#REF!</v>
      </c>
      <c r="AN16" s="541">
        <v>20</v>
      </c>
      <c r="AT16" s="132"/>
      <c r="AU16" s="132"/>
      <c r="AV16" s="132"/>
    </row>
    <row r="17" spans="2:48">
      <c r="B17" s="662"/>
      <c r="C17" s="815"/>
      <c r="D17" s="551">
        <v>7</v>
      </c>
      <c r="E17" s="624" t="s">
        <v>694</v>
      </c>
      <c r="F17" s="624" t="s">
        <v>695</v>
      </c>
      <c r="G17" s="552" t="s">
        <v>108</v>
      </c>
      <c r="H17" s="536" t="s">
        <v>108</v>
      </c>
      <c r="I17" s="536" t="s">
        <v>108</v>
      </c>
      <c r="J17" s="536" t="s">
        <v>116</v>
      </c>
      <c r="K17" s="537" t="s">
        <v>116</v>
      </c>
      <c r="L17" s="537" t="s">
        <v>116</v>
      </c>
      <c r="M17" s="538" t="s">
        <v>117</v>
      </c>
      <c r="N17" s="558">
        <v>72</v>
      </c>
      <c r="O17" s="536" t="s">
        <v>108</v>
      </c>
      <c r="P17" s="536" t="s">
        <v>108</v>
      </c>
      <c r="Q17" s="536" t="s">
        <v>108</v>
      </c>
      <c r="R17" s="536" t="s">
        <v>116</v>
      </c>
      <c r="S17" s="537" t="s">
        <v>116</v>
      </c>
      <c r="T17" s="538" t="s">
        <v>117</v>
      </c>
      <c r="U17" s="536" t="s">
        <v>108</v>
      </c>
      <c r="V17" s="558">
        <v>72</v>
      </c>
      <c r="W17" s="536" t="s">
        <v>108</v>
      </c>
      <c r="X17" s="536" t="s">
        <v>108</v>
      </c>
      <c r="Y17" s="536" t="s">
        <v>116</v>
      </c>
      <c r="Z17" s="537" t="s">
        <v>116</v>
      </c>
      <c r="AA17" s="536" t="s">
        <v>116</v>
      </c>
      <c r="AB17" s="537" t="s">
        <v>116</v>
      </c>
      <c r="AC17" s="538" t="s">
        <v>117</v>
      </c>
      <c r="AD17" s="558">
        <v>72</v>
      </c>
      <c r="AE17" s="538" t="s">
        <v>117</v>
      </c>
      <c r="AF17" s="536" t="s">
        <v>108</v>
      </c>
      <c r="AG17" s="536" t="s">
        <v>108</v>
      </c>
      <c r="AH17" s="536" t="s">
        <v>116</v>
      </c>
      <c r="AI17" s="537" t="s">
        <v>116</v>
      </c>
      <c r="AJ17" s="538" t="s">
        <v>117</v>
      </c>
      <c r="AK17" s="538" t="s">
        <v>117</v>
      </c>
      <c r="AL17" s="539">
        <v>48</v>
      </c>
      <c r="AM17" s="541" t="e">
        <v>#REF!</v>
      </c>
      <c r="AN17" s="541">
        <v>20</v>
      </c>
      <c r="AT17" s="132"/>
      <c r="AU17" s="132"/>
      <c r="AV17" s="132"/>
    </row>
    <row r="18" spans="2:48">
      <c r="B18" s="662"/>
      <c r="C18" s="815"/>
      <c r="D18" s="551">
        <v>8</v>
      </c>
      <c r="E18" s="628" t="s">
        <v>398</v>
      </c>
      <c r="F18" s="626" t="s">
        <v>399</v>
      </c>
      <c r="G18" s="553" t="s">
        <v>108</v>
      </c>
      <c r="H18" s="536" t="s">
        <v>108</v>
      </c>
      <c r="I18" s="537" t="s">
        <v>116</v>
      </c>
      <c r="J18" s="537" t="s">
        <v>116</v>
      </c>
      <c r="K18" s="538" t="s">
        <v>117</v>
      </c>
      <c r="L18" s="538" t="s">
        <v>117</v>
      </c>
      <c r="M18" s="536" t="s">
        <v>108</v>
      </c>
      <c r="N18" s="558">
        <v>60</v>
      </c>
      <c r="O18" s="536" t="s">
        <v>108</v>
      </c>
      <c r="P18" s="537" t="s">
        <v>116</v>
      </c>
      <c r="Q18" s="537" t="s">
        <v>116</v>
      </c>
      <c r="R18" s="537" t="s">
        <v>116</v>
      </c>
      <c r="S18" s="538" t="s">
        <v>117</v>
      </c>
      <c r="T18" s="536" t="s">
        <v>108</v>
      </c>
      <c r="U18" s="536" t="s">
        <v>108</v>
      </c>
      <c r="V18" s="557">
        <v>72</v>
      </c>
      <c r="W18" s="536" t="s">
        <v>108</v>
      </c>
      <c r="X18" s="537" t="s">
        <v>116</v>
      </c>
      <c r="Y18" s="537" t="s">
        <v>116</v>
      </c>
      <c r="Z18" s="537" t="s">
        <v>116</v>
      </c>
      <c r="AA18" s="538" t="s">
        <v>117</v>
      </c>
      <c r="AB18" s="331" t="s">
        <v>117</v>
      </c>
      <c r="AC18" s="536" t="s">
        <v>108</v>
      </c>
      <c r="AD18" s="557">
        <v>60</v>
      </c>
      <c r="AE18" s="536" t="s">
        <v>108</v>
      </c>
      <c r="AF18" s="536" t="s">
        <v>116</v>
      </c>
      <c r="AG18" s="537" t="s">
        <v>116</v>
      </c>
      <c r="AH18" s="537" t="s">
        <v>116</v>
      </c>
      <c r="AI18" s="538" t="s">
        <v>117</v>
      </c>
      <c r="AJ18" s="536" t="s">
        <v>108</v>
      </c>
      <c r="AK18" s="537" t="s">
        <v>108</v>
      </c>
      <c r="AL18" s="539">
        <v>72</v>
      </c>
      <c r="AM18" s="541" t="e">
        <v>#REF!</v>
      </c>
      <c r="AN18" s="541">
        <v>20</v>
      </c>
      <c r="AT18" s="132"/>
      <c r="AU18" s="132"/>
      <c r="AV18" s="132"/>
    </row>
    <row r="19" spans="2:48">
      <c r="B19" s="662"/>
      <c r="C19" s="813">
        <v>4</v>
      </c>
      <c r="D19" s="551">
        <v>9</v>
      </c>
      <c r="E19" s="629" t="s">
        <v>402</v>
      </c>
      <c r="F19" s="629" t="s">
        <v>403</v>
      </c>
      <c r="G19" s="554" t="s">
        <v>117</v>
      </c>
      <c r="H19" s="542" t="s">
        <v>117</v>
      </c>
      <c r="I19" s="536" t="s">
        <v>108</v>
      </c>
      <c r="J19" s="536" t="s">
        <v>108</v>
      </c>
      <c r="K19" s="537" t="s">
        <v>116</v>
      </c>
      <c r="L19" s="537" t="s">
        <v>116</v>
      </c>
      <c r="M19" s="537" t="s">
        <v>116</v>
      </c>
      <c r="N19" s="558">
        <v>60</v>
      </c>
      <c r="O19" s="543" t="s">
        <v>117</v>
      </c>
      <c r="P19" s="536" t="s">
        <v>108</v>
      </c>
      <c r="Q19" s="536" t="s">
        <v>108</v>
      </c>
      <c r="R19" s="536" t="s">
        <v>108</v>
      </c>
      <c r="S19" s="537" t="s">
        <v>116</v>
      </c>
      <c r="T19" s="537" t="s">
        <v>116</v>
      </c>
      <c r="U19" s="537" t="s">
        <v>116</v>
      </c>
      <c r="V19" s="557">
        <v>72</v>
      </c>
      <c r="W19" s="538" t="s">
        <v>117</v>
      </c>
      <c r="X19" s="536" t="s">
        <v>108</v>
      </c>
      <c r="Y19" s="536" t="s">
        <v>108</v>
      </c>
      <c r="Z19" s="536" t="s">
        <v>108</v>
      </c>
      <c r="AA19" s="537" t="s">
        <v>116</v>
      </c>
      <c r="AB19" s="537" t="s">
        <v>116</v>
      </c>
      <c r="AC19" s="536" t="s">
        <v>116</v>
      </c>
      <c r="AD19" s="557">
        <v>72</v>
      </c>
      <c r="AE19" s="538" t="s">
        <v>117</v>
      </c>
      <c r="AF19" s="537" t="s">
        <v>108</v>
      </c>
      <c r="AG19" s="537" t="s">
        <v>108</v>
      </c>
      <c r="AH19" s="537" t="s">
        <v>108</v>
      </c>
      <c r="AI19" s="537" t="s">
        <v>116</v>
      </c>
      <c r="AJ19" s="537" t="s">
        <v>116</v>
      </c>
      <c r="AK19" s="537" t="s">
        <v>116</v>
      </c>
      <c r="AL19" s="539">
        <v>72</v>
      </c>
      <c r="AM19" s="540" t="e">
        <v>#REF!</v>
      </c>
      <c r="AN19" s="541">
        <v>20</v>
      </c>
      <c r="AT19" s="132"/>
      <c r="AU19" s="132"/>
      <c r="AV19" s="132"/>
    </row>
    <row r="20" spans="2:48">
      <c r="B20" s="662"/>
      <c r="C20" s="813"/>
      <c r="D20" s="551">
        <v>10</v>
      </c>
      <c r="E20" s="626" t="s">
        <v>406</v>
      </c>
      <c r="F20" s="626" t="s">
        <v>407</v>
      </c>
      <c r="G20" s="553" t="s">
        <v>116</v>
      </c>
      <c r="H20" s="537" t="s">
        <v>116</v>
      </c>
      <c r="I20" s="543" t="s">
        <v>117</v>
      </c>
      <c r="J20" s="536" t="s">
        <v>108</v>
      </c>
      <c r="K20" s="536" t="s">
        <v>108</v>
      </c>
      <c r="L20" s="537" t="s">
        <v>108</v>
      </c>
      <c r="M20" s="537" t="s">
        <v>116</v>
      </c>
      <c r="N20" s="557">
        <v>72</v>
      </c>
      <c r="O20" s="536" t="s">
        <v>116</v>
      </c>
      <c r="P20" s="538" t="s">
        <v>117</v>
      </c>
      <c r="Q20" s="538" t="s">
        <v>117</v>
      </c>
      <c r="R20" s="537" t="s">
        <v>108</v>
      </c>
      <c r="S20" s="536" t="s">
        <v>108</v>
      </c>
      <c r="T20" s="536" t="s">
        <v>108</v>
      </c>
      <c r="U20" s="536" t="s">
        <v>116</v>
      </c>
      <c r="V20" s="557">
        <v>60</v>
      </c>
      <c r="W20" s="536" t="s">
        <v>116</v>
      </c>
      <c r="X20" s="538" t="s">
        <v>117</v>
      </c>
      <c r="Y20" s="536" t="s">
        <v>108</v>
      </c>
      <c r="Z20" s="536" t="s">
        <v>108</v>
      </c>
      <c r="AA20" s="536" t="s">
        <v>108</v>
      </c>
      <c r="AB20" s="536" t="s">
        <v>108</v>
      </c>
      <c r="AC20" s="537" t="s">
        <v>116</v>
      </c>
      <c r="AD20" s="557">
        <v>72</v>
      </c>
      <c r="AE20" s="537" t="s">
        <v>116</v>
      </c>
      <c r="AF20" s="538" t="s">
        <v>117</v>
      </c>
      <c r="AG20" s="538" t="s">
        <v>117</v>
      </c>
      <c r="AH20" s="536" t="s">
        <v>108</v>
      </c>
      <c r="AI20" s="536" t="s">
        <v>108</v>
      </c>
      <c r="AJ20" s="536" t="s">
        <v>116</v>
      </c>
      <c r="AK20" s="536" t="s">
        <v>116</v>
      </c>
      <c r="AL20" s="539">
        <v>60</v>
      </c>
      <c r="AM20" s="541" t="e">
        <v>#REF!</v>
      </c>
      <c r="AN20" s="541">
        <v>20</v>
      </c>
      <c r="AT20" s="132"/>
      <c r="AU20" s="132"/>
      <c r="AV20" s="132"/>
    </row>
    <row r="21" spans="2:48">
      <c r="B21" s="662"/>
      <c r="C21" s="813">
        <v>5</v>
      </c>
      <c r="D21" s="551">
        <v>11</v>
      </c>
      <c r="E21" s="623" t="s">
        <v>436</v>
      </c>
      <c r="F21" s="623" t="s">
        <v>437</v>
      </c>
      <c r="G21" s="556" t="s">
        <v>116</v>
      </c>
      <c r="H21" s="125" t="s">
        <v>117</v>
      </c>
      <c r="I21" s="126" t="s">
        <v>108</v>
      </c>
      <c r="J21" s="126" t="s">
        <v>116</v>
      </c>
      <c r="K21" s="126" t="s">
        <v>116</v>
      </c>
      <c r="L21" s="126" t="s">
        <v>116</v>
      </c>
      <c r="M21" s="126" t="s">
        <v>116</v>
      </c>
      <c r="N21" s="558">
        <v>72</v>
      </c>
      <c r="O21" s="333" t="s">
        <v>116</v>
      </c>
      <c r="P21" s="125" t="s">
        <v>117</v>
      </c>
      <c r="Q21" s="125" t="s">
        <v>117</v>
      </c>
      <c r="R21" s="126" t="s">
        <v>108</v>
      </c>
      <c r="S21" s="126" t="s">
        <v>108</v>
      </c>
      <c r="T21" s="126" t="s">
        <v>108</v>
      </c>
      <c r="U21" s="126" t="s">
        <v>108</v>
      </c>
      <c r="V21" s="557">
        <v>60</v>
      </c>
      <c r="W21" s="126" t="s">
        <v>108</v>
      </c>
      <c r="X21" s="125" t="s">
        <v>117</v>
      </c>
      <c r="Y21" s="126" t="s">
        <v>108</v>
      </c>
      <c r="Z21" s="126" t="s">
        <v>108</v>
      </c>
      <c r="AA21" s="126" t="s">
        <v>108</v>
      </c>
      <c r="AB21" s="126" t="s">
        <v>108</v>
      </c>
      <c r="AC21" s="126" t="s">
        <v>116</v>
      </c>
      <c r="AD21" s="557">
        <v>72</v>
      </c>
      <c r="AE21" s="126" t="s">
        <v>116</v>
      </c>
      <c r="AF21" s="125" t="s">
        <v>117</v>
      </c>
      <c r="AG21" s="125" t="s">
        <v>117</v>
      </c>
      <c r="AH21" s="126" t="s">
        <v>108</v>
      </c>
      <c r="AI21" s="126" t="s">
        <v>108</v>
      </c>
      <c r="AJ21" s="560" t="s">
        <v>108</v>
      </c>
      <c r="AK21" s="126" t="s">
        <v>108</v>
      </c>
      <c r="AL21" s="539">
        <v>60</v>
      </c>
      <c r="AM21" s="541" t="e">
        <v>#REF!</v>
      </c>
      <c r="AN21" s="541">
        <v>20</v>
      </c>
      <c r="AT21" s="132"/>
      <c r="AU21" s="132"/>
      <c r="AV21" s="132"/>
    </row>
    <row r="22" spans="2:48">
      <c r="B22" s="662"/>
      <c r="C22" s="813"/>
      <c r="D22" s="551">
        <v>12</v>
      </c>
      <c r="E22" s="626" t="s">
        <v>418</v>
      </c>
      <c r="F22" s="625" t="s">
        <v>419</v>
      </c>
      <c r="G22" s="561" t="s">
        <v>116</v>
      </c>
      <c r="H22" s="333" t="s">
        <v>116</v>
      </c>
      <c r="I22" s="333" t="s">
        <v>116</v>
      </c>
      <c r="J22" s="335" t="s">
        <v>117</v>
      </c>
      <c r="K22" s="536" t="s">
        <v>108</v>
      </c>
      <c r="L22" s="560" t="s">
        <v>108</v>
      </c>
      <c r="M22" s="333" t="s">
        <v>108</v>
      </c>
      <c r="N22" s="557">
        <v>72</v>
      </c>
      <c r="O22" s="333" t="s">
        <v>108</v>
      </c>
      <c r="P22" s="333" t="s">
        <v>116</v>
      </c>
      <c r="Q22" s="333" t="s">
        <v>116</v>
      </c>
      <c r="R22" s="332" t="s">
        <v>117</v>
      </c>
      <c r="S22" s="332" t="s">
        <v>117</v>
      </c>
      <c r="T22" s="560" t="s">
        <v>108</v>
      </c>
      <c r="U22" s="334" t="s">
        <v>116</v>
      </c>
      <c r="V22" s="557">
        <v>60</v>
      </c>
      <c r="W22" s="333" t="s">
        <v>116</v>
      </c>
      <c r="X22" s="333" t="s">
        <v>116</v>
      </c>
      <c r="Y22" s="331" t="s">
        <v>117</v>
      </c>
      <c r="Z22" s="333" t="s">
        <v>108</v>
      </c>
      <c r="AA22" s="333" t="s">
        <v>108</v>
      </c>
      <c r="AB22" s="560" t="s">
        <v>108</v>
      </c>
      <c r="AC22" s="333" t="s">
        <v>108</v>
      </c>
      <c r="AD22" s="557">
        <v>72</v>
      </c>
      <c r="AE22" s="333" t="s">
        <v>116</v>
      </c>
      <c r="AF22" s="333" t="s">
        <v>116</v>
      </c>
      <c r="AG22" s="333" t="s">
        <v>116</v>
      </c>
      <c r="AH22" s="331" t="s">
        <v>117</v>
      </c>
      <c r="AI22" s="334" t="s">
        <v>116</v>
      </c>
      <c r="AJ22" s="334" t="s">
        <v>116</v>
      </c>
      <c r="AK22" s="334" t="s">
        <v>116</v>
      </c>
      <c r="AL22" s="539">
        <v>72</v>
      </c>
      <c r="AM22" s="540" t="e">
        <v>#REF!</v>
      </c>
      <c r="AN22" s="541">
        <v>20</v>
      </c>
      <c r="AT22" s="132"/>
      <c r="AU22" s="132"/>
      <c r="AV22" s="132"/>
    </row>
    <row r="23" spans="2:48">
      <c r="B23" s="662"/>
      <c r="C23" s="813"/>
      <c r="D23" s="551">
        <v>13</v>
      </c>
      <c r="E23" s="630" t="s">
        <v>430</v>
      </c>
      <c r="F23" s="630" t="s">
        <v>431</v>
      </c>
      <c r="G23" s="556" t="s">
        <v>116</v>
      </c>
      <c r="H23" s="126" t="s">
        <v>116</v>
      </c>
      <c r="I23" s="335" t="s">
        <v>117</v>
      </c>
      <c r="J23" s="126" t="s">
        <v>108</v>
      </c>
      <c r="K23" s="126" t="s">
        <v>108</v>
      </c>
      <c r="L23" s="333" t="s">
        <v>108</v>
      </c>
      <c r="M23" s="333" t="s">
        <v>108</v>
      </c>
      <c r="N23" s="557">
        <v>72</v>
      </c>
      <c r="O23" s="125" t="s">
        <v>117</v>
      </c>
      <c r="P23" s="126" t="s">
        <v>108</v>
      </c>
      <c r="Q23" s="126" t="s">
        <v>108</v>
      </c>
      <c r="R23" s="126" t="s">
        <v>116</v>
      </c>
      <c r="S23" s="126" t="s">
        <v>116</v>
      </c>
      <c r="T23" s="125" t="s">
        <v>117</v>
      </c>
      <c r="U23" s="129" t="s">
        <v>108</v>
      </c>
      <c r="V23" s="557">
        <v>60</v>
      </c>
      <c r="W23" s="126" t="s">
        <v>108</v>
      </c>
      <c r="X23" s="126" t="s">
        <v>108</v>
      </c>
      <c r="Y23" s="126" t="s">
        <v>116</v>
      </c>
      <c r="Z23" s="125" t="s">
        <v>117</v>
      </c>
      <c r="AA23" s="125" t="s">
        <v>117</v>
      </c>
      <c r="AB23" s="126" t="s">
        <v>108</v>
      </c>
      <c r="AC23" s="126" t="s">
        <v>108</v>
      </c>
      <c r="AD23" s="557">
        <v>60</v>
      </c>
      <c r="AE23" s="126" t="s">
        <v>108</v>
      </c>
      <c r="AF23" s="126" t="s">
        <v>108</v>
      </c>
      <c r="AG23" s="126" t="s">
        <v>108</v>
      </c>
      <c r="AH23" s="126" t="s">
        <v>116</v>
      </c>
      <c r="AI23" s="125" t="s">
        <v>117</v>
      </c>
      <c r="AJ23" s="126" t="s">
        <v>108</v>
      </c>
      <c r="AK23" s="126" t="s">
        <v>108</v>
      </c>
      <c r="AL23" s="539">
        <v>60</v>
      </c>
      <c r="AM23" s="544" t="e">
        <v>#REF!</v>
      </c>
      <c r="AN23" s="541">
        <v>20</v>
      </c>
      <c r="AT23" s="132"/>
      <c r="AU23" s="132"/>
      <c r="AV23" s="132"/>
    </row>
    <row r="24" spans="2:48" ht="16.5">
      <c r="B24" s="337" t="s">
        <v>130</v>
      </c>
      <c r="C24" s="337">
        <v>1</v>
      </c>
      <c r="D24" s="551">
        <v>14</v>
      </c>
      <c r="E24" s="625" t="s">
        <v>410</v>
      </c>
      <c r="F24" s="625" t="s">
        <v>411</v>
      </c>
      <c r="G24" s="561" t="s">
        <v>108</v>
      </c>
      <c r="H24" s="333" t="s">
        <v>108</v>
      </c>
      <c r="I24" s="333" t="s">
        <v>108</v>
      </c>
      <c r="J24" s="333" t="s">
        <v>108</v>
      </c>
      <c r="K24" s="333" t="s">
        <v>108</v>
      </c>
      <c r="L24" s="333" t="s">
        <v>108</v>
      </c>
      <c r="M24" s="331" t="s">
        <v>117</v>
      </c>
      <c r="N24" s="557">
        <v>72</v>
      </c>
      <c r="O24" s="536" t="s">
        <v>108</v>
      </c>
      <c r="P24" s="333" t="s">
        <v>108</v>
      </c>
      <c r="Q24" s="333" t="s">
        <v>108</v>
      </c>
      <c r="R24" s="333" t="s">
        <v>108</v>
      </c>
      <c r="S24" s="333" t="s">
        <v>108</v>
      </c>
      <c r="T24" s="538" t="s">
        <v>117</v>
      </c>
      <c r="U24" s="331" t="s">
        <v>117</v>
      </c>
      <c r="V24" s="558">
        <v>60</v>
      </c>
      <c r="W24" s="333" t="s">
        <v>108</v>
      </c>
      <c r="X24" s="333" t="s">
        <v>108</v>
      </c>
      <c r="Y24" s="333" t="s">
        <v>108</v>
      </c>
      <c r="Z24" s="333" t="s">
        <v>108</v>
      </c>
      <c r="AA24" s="333" t="s">
        <v>108</v>
      </c>
      <c r="AB24" s="333" t="s">
        <v>108</v>
      </c>
      <c r="AC24" s="331" t="s">
        <v>117</v>
      </c>
      <c r="AD24" s="558">
        <v>72</v>
      </c>
      <c r="AE24" s="333" t="s">
        <v>108</v>
      </c>
      <c r="AF24" s="333" t="s">
        <v>108</v>
      </c>
      <c r="AG24" s="333" t="s">
        <v>108</v>
      </c>
      <c r="AH24" s="333" t="s">
        <v>108</v>
      </c>
      <c r="AI24" s="333" t="s">
        <v>108</v>
      </c>
      <c r="AJ24" s="538" t="s">
        <v>117</v>
      </c>
      <c r="AK24" s="331" t="s">
        <v>117</v>
      </c>
      <c r="AL24" s="539">
        <v>60</v>
      </c>
      <c r="AM24" s="541" t="e">
        <v>#REF!</v>
      </c>
      <c r="AN24" s="541">
        <v>20</v>
      </c>
      <c r="AT24" s="132"/>
      <c r="AU24" s="132"/>
      <c r="AV24" s="132"/>
    </row>
    <row r="25" spans="2:48" ht="16.5">
      <c r="B25" s="337" t="s">
        <v>131</v>
      </c>
      <c r="C25" s="338">
        <v>2</v>
      </c>
      <c r="D25" s="551">
        <v>15</v>
      </c>
      <c r="E25" s="625" t="s">
        <v>412</v>
      </c>
      <c r="F25" s="626" t="s">
        <v>413</v>
      </c>
      <c r="G25" s="562" t="s">
        <v>117</v>
      </c>
      <c r="H25" s="333" t="s">
        <v>108</v>
      </c>
      <c r="I25" s="333" t="s">
        <v>108</v>
      </c>
      <c r="J25" s="333" t="s">
        <v>108</v>
      </c>
      <c r="K25" s="333" t="s">
        <v>108</v>
      </c>
      <c r="L25" s="333" t="s">
        <v>108</v>
      </c>
      <c r="M25" s="331" t="s">
        <v>117</v>
      </c>
      <c r="N25" s="557">
        <v>60</v>
      </c>
      <c r="O25" s="333" t="s">
        <v>108</v>
      </c>
      <c r="P25" s="333" t="s">
        <v>108</v>
      </c>
      <c r="Q25" s="333" t="s">
        <v>108</v>
      </c>
      <c r="R25" s="333" t="s">
        <v>108</v>
      </c>
      <c r="S25" s="333" t="s">
        <v>108</v>
      </c>
      <c r="T25" s="333" t="s">
        <v>116</v>
      </c>
      <c r="U25" s="538" t="s">
        <v>117</v>
      </c>
      <c r="V25" s="557">
        <v>72</v>
      </c>
      <c r="W25" s="331" t="s">
        <v>117</v>
      </c>
      <c r="X25" s="333" t="s">
        <v>108</v>
      </c>
      <c r="Y25" s="333" t="s">
        <v>108</v>
      </c>
      <c r="Z25" s="333" t="s">
        <v>108</v>
      </c>
      <c r="AA25" s="333" t="s">
        <v>108</v>
      </c>
      <c r="AB25" s="333" t="s">
        <v>108</v>
      </c>
      <c r="AC25" s="331" t="s">
        <v>117</v>
      </c>
      <c r="AD25" s="557">
        <v>60</v>
      </c>
      <c r="AE25" s="333" t="s">
        <v>108</v>
      </c>
      <c r="AF25" s="333" t="s">
        <v>108</v>
      </c>
      <c r="AG25" s="333" t="s">
        <v>108</v>
      </c>
      <c r="AH25" s="333" t="s">
        <v>108</v>
      </c>
      <c r="AI25" s="333" t="s">
        <v>108</v>
      </c>
      <c r="AJ25" s="333" t="s">
        <v>108</v>
      </c>
      <c r="AK25" s="331" t="s">
        <v>117</v>
      </c>
      <c r="AL25" s="539">
        <v>72</v>
      </c>
      <c r="AM25" s="541" t="e">
        <v>#REF!</v>
      </c>
      <c r="AN25" s="541">
        <v>20</v>
      </c>
      <c r="AT25" s="132"/>
      <c r="AU25" s="132"/>
      <c r="AV25" s="132"/>
    </row>
    <row r="26" spans="2:48">
      <c r="D26" s="525"/>
      <c r="E26" s="525"/>
      <c r="F26" s="525"/>
      <c r="G26" s="525"/>
      <c r="H26" s="525"/>
      <c r="I26" s="525"/>
      <c r="J26" s="525"/>
      <c r="K26" s="525"/>
      <c r="L26" s="525"/>
      <c r="M26" s="525"/>
      <c r="N26" s="526">
        <v>1008</v>
      </c>
      <c r="O26" s="525"/>
      <c r="P26" s="525"/>
      <c r="Q26" s="525"/>
      <c r="R26" s="525"/>
      <c r="S26" s="525"/>
      <c r="T26" s="525"/>
      <c r="U26" s="525"/>
      <c r="V26" s="526">
        <v>984</v>
      </c>
      <c r="W26" s="525"/>
      <c r="X26" s="525"/>
      <c r="Y26" s="525"/>
      <c r="Z26" s="525"/>
      <c r="AA26" s="525"/>
      <c r="AB26" s="525"/>
      <c r="AC26" s="525"/>
      <c r="AD26" s="526">
        <v>1008</v>
      </c>
      <c r="AE26" s="525"/>
      <c r="AF26" s="525"/>
      <c r="AG26" s="525"/>
      <c r="AH26" s="525"/>
      <c r="AI26" s="525"/>
      <c r="AJ26" s="525"/>
      <c r="AK26" s="525"/>
      <c r="AL26" s="526">
        <v>996</v>
      </c>
      <c r="AM26" s="527"/>
      <c r="AN26" s="527"/>
      <c r="AT26" s="132"/>
      <c r="AU26" s="132"/>
      <c r="AV26" s="132"/>
    </row>
    <row r="27" spans="2:48" ht="15" customHeight="1">
      <c r="B27" s="676" t="s">
        <v>126</v>
      </c>
      <c r="C27" s="676" t="s">
        <v>127</v>
      </c>
      <c r="D27" s="528" t="s">
        <v>101</v>
      </c>
      <c r="E27" s="528" t="s">
        <v>135</v>
      </c>
      <c r="F27" s="528" t="s">
        <v>102</v>
      </c>
      <c r="G27" s="529" t="s">
        <v>103</v>
      </c>
      <c r="H27" s="529" t="s">
        <v>104</v>
      </c>
      <c r="I27" s="529" t="s">
        <v>104</v>
      </c>
      <c r="J27" s="529" t="s">
        <v>105</v>
      </c>
      <c r="K27" s="529" t="s">
        <v>106</v>
      </c>
      <c r="L27" s="529" t="s">
        <v>107</v>
      </c>
      <c r="M27" s="529" t="s">
        <v>108</v>
      </c>
      <c r="N27" s="796" t="s">
        <v>109</v>
      </c>
      <c r="O27" s="530" t="s">
        <v>103</v>
      </c>
      <c r="P27" s="530" t="s">
        <v>104</v>
      </c>
      <c r="Q27" s="530" t="s">
        <v>104</v>
      </c>
      <c r="R27" s="530" t="s">
        <v>105</v>
      </c>
      <c r="S27" s="530" t="s">
        <v>106</v>
      </c>
      <c r="T27" s="530" t="s">
        <v>107</v>
      </c>
      <c r="U27" s="530" t="s">
        <v>108</v>
      </c>
      <c r="V27" s="796" t="s">
        <v>109</v>
      </c>
      <c r="W27" s="531" t="s">
        <v>103</v>
      </c>
      <c r="X27" s="531" t="s">
        <v>104</v>
      </c>
      <c r="Y27" s="531" t="s">
        <v>104</v>
      </c>
      <c r="Z27" s="531" t="s">
        <v>105</v>
      </c>
      <c r="AA27" s="531" t="s">
        <v>106</v>
      </c>
      <c r="AB27" s="531" t="s">
        <v>107</v>
      </c>
      <c r="AC27" s="531" t="s">
        <v>108</v>
      </c>
      <c r="AD27" s="796" t="s">
        <v>109</v>
      </c>
      <c r="AE27" s="532" t="s">
        <v>103</v>
      </c>
      <c r="AF27" s="532" t="s">
        <v>104</v>
      </c>
      <c r="AG27" s="532" t="s">
        <v>104</v>
      </c>
      <c r="AH27" s="533" t="s">
        <v>105</v>
      </c>
      <c r="AI27" s="533" t="s">
        <v>106</v>
      </c>
      <c r="AJ27" s="533" t="s">
        <v>107</v>
      </c>
      <c r="AK27" s="533" t="s">
        <v>108</v>
      </c>
      <c r="AL27" s="796" t="s">
        <v>109</v>
      </c>
      <c r="AM27" s="642" t="s">
        <v>129</v>
      </c>
      <c r="AN27" s="642" t="s">
        <v>111</v>
      </c>
      <c r="AT27" s="132"/>
      <c r="AU27" s="132"/>
      <c r="AV27" s="132"/>
    </row>
    <row r="28" spans="2:48">
      <c r="B28" s="676"/>
      <c r="C28" s="676"/>
      <c r="D28" s="528" t="s">
        <v>112</v>
      </c>
      <c r="E28" s="528" t="s">
        <v>845</v>
      </c>
      <c r="F28" s="528" t="s">
        <v>113</v>
      </c>
      <c r="G28" s="800">
        <v>7</v>
      </c>
      <c r="H28" s="800">
        <v>8</v>
      </c>
      <c r="I28" s="800">
        <v>9</v>
      </c>
      <c r="J28" s="800">
        <v>10</v>
      </c>
      <c r="K28" s="800">
        <v>11</v>
      </c>
      <c r="L28" s="800">
        <v>12</v>
      </c>
      <c r="M28" s="800">
        <v>13</v>
      </c>
      <c r="N28" s="796"/>
      <c r="O28" s="800">
        <v>14</v>
      </c>
      <c r="P28" s="800">
        <v>15</v>
      </c>
      <c r="Q28" s="800">
        <v>16</v>
      </c>
      <c r="R28" s="800">
        <v>17</v>
      </c>
      <c r="S28" s="800">
        <v>18</v>
      </c>
      <c r="T28" s="800">
        <v>19</v>
      </c>
      <c r="U28" s="800">
        <v>20</v>
      </c>
      <c r="V28" s="796"/>
      <c r="W28" s="800">
        <v>21</v>
      </c>
      <c r="X28" s="800">
        <v>22</v>
      </c>
      <c r="Y28" s="800">
        <v>23</v>
      </c>
      <c r="Z28" s="800">
        <v>24</v>
      </c>
      <c r="AA28" s="800">
        <v>25</v>
      </c>
      <c r="AB28" s="800">
        <v>26</v>
      </c>
      <c r="AC28" s="800">
        <v>27</v>
      </c>
      <c r="AD28" s="796"/>
      <c r="AE28" s="800">
        <v>28</v>
      </c>
      <c r="AF28" s="800">
        <v>29</v>
      </c>
      <c r="AG28" s="800">
        <v>30</v>
      </c>
      <c r="AH28" s="800">
        <v>1</v>
      </c>
      <c r="AI28" s="800">
        <v>2</v>
      </c>
      <c r="AJ28" s="800">
        <v>3</v>
      </c>
      <c r="AK28" s="800">
        <v>4</v>
      </c>
      <c r="AL28" s="796"/>
      <c r="AM28" s="642"/>
      <c r="AN28" s="642"/>
      <c r="AT28" s="132"/>
      <c r="AU28" s="132"/>
      <c r="AV28" s="132"/>
    </row>
    <row r="29" spans="2:48">
      <c r="B29" s="676"/>
      <c r="C29" s="676"/>
      <c r="D29" s="534" t="s">
        <v>42</v>
      </c>
      <c r="E29" s="555" t="s">
        <v>114</v>
      </c>
      <c r="F29" s="555" t="s">
        <v>115</v>
      </c>
      <c r="G29" s="801"/>
      <c r="H29" s="801"/>
      <c r="I29" s="801"/>
      <c r="J29" s="801"/>
      <c r="K29" s="801"/>
      <c r="L29" s="801"/>
      <c r="M29" s="801"/>
      <c r="N29" s="796"/>
      <c r="O29" s="801"/>
      <c r="P29" s="801"/>
      <c r="Q29" s="801"/>
      <c r="R29" s="801"/>
      <c r="S29" s="801"/>
      <c r="T29" s="801"/>
      <c r="U29" s="801"/>
      <c r="V29" s="796"/>
      <c r="W29" s="801"/>
      <c r="X29" s="801"/>
      <c r="Y29" s="801"/>
      <c r="Z29" s="801"/>
      <c r="AA29" s="801"/>
      <c r="AB29" s="801"/>
      <c r="AC29" s="801"/>
      <c r="AD29" s="796"/>
      <c r="AE29" s="801"/>
      <c r="AF29" s="801"/>
      <c r="AG29" s="801"/>
      <c r="AH29" s="801"/>
      <c r="AI29" s="801"/>
      <c r="AJ29" s="801"/>
      <c r="AK29" s="801"/>
      <c r="AL29" s="796"/>
      <c r="AM29" s="642"/>
      <c r="AN29" s="642"/>
      <c r="AT29" s="132"/>
      <c r="AU29" s="132"/>
      <c r="AV29" s="132"/>
    </row>
    <row r="30" spans="2:48">
      <c r="B30" s="662" t="s">
        <v>136</v>
      </c>
      <c r="C30" s="804">
        <v>1</v>
      </c>
      <c r="D30" s="551">
        <v>1</v>
      </c>
      <c r="E30" s="627" t="s">
        <v>404</v>
      </c>
      <c r="F30" s="625" t="s">
        <v>405</v>
      </c>
      <c r="G30" s="552" t="s">
        <v>116</v>
      </c>
      <c r="H30" s="537" t="s">
        <v>116</v>
      </c>
      <c r="I30" s="537" t="s">
        <v>116</v>
      </c>
      <c r="J30" s="538" t="s">
        <v>117</v>
      </c>
      <c r="K30" s="536" t="s">
        <v>108</v>
      </c>
      <c r="L30" s="536" t="s">
        <v>108</v>
      </c>
      <c r="M30" s="536" t="s">
        <v>108</v>
      </c>
      <c r="N30" s="557">
        <v>72</v>
      </c>
      <c r="O30" s="536" t="s">
        <v>116</v>
      </c>
      <c r="P30" s="537" t="s">
        <v>116</v>
      </c>
      <c r="Q30" s="537" t="s">
        <v>116</v>
      </c>
      <c r="R30" s="538" t="s">
        <v>117</v>
      </c>
      <c r="S30" s="536" t="s">
        <v>108</v>
      </c>
      <c r="T30" s="536" t="s">
        <v>108</v>
      </c>
      <c r="U30" s="536" t="s">
        <v>108</v>
      </c>
      <c r="V30" s="557">
        <v>72</v>
      </c>
      <c r="W30" s="537" t="s">
        <v>116</v>
      </c>
      <c r="X30" s="537" t="s">
        <v>116</v>
      </c>
      <c r="Y30" s="538" t="s">
        <v>117</v>
      </c>
      <c r="Z30" s="538" t="s">
        <v>117</v>
      </c>
      <c r="AA30" s="536" t="s">
        <v>108</v>
      </c>
      <c r="AB30" s="536" t="s">
        <v>108</v>
      </c>
      <c r="AC30" s="536" t="s">
        <v>108</v>
      </c>
      <c r="AD30" s="557">
        <v>60</v>
      </c>
      <c r="AE30" s="537" t="s">
        <v>116</v>
      </c>
      <c r="AF30" s="537" t="s">
        <v>116</v>
      </c>
      <c r="AG30" s="537" t="s">
        <v>116</v>
      </c>
      <c r="AH30" s="538" t="s">
        <v>117</v>
      </c>
      <c r="AI30" s="536" t="s">
        <v>108</v>
      </c>
      <c r="AJ30" s="537" t="s">
        <v>108</v>
      </c>
      <c r="AK30" s="537" t="s">
        <v>108</v>
      </c>
      <c r="AL30" s="539">
        <v>72</v>
      </c>
      <c r="AM30" s="540" t="e">
        <v>#REF!</v>
      </c>
      <c r="AN30" s="541">
        <v>20</v>
      </c>
      <c r="AT30" s="132"/>
      <c r="AU30" s="132"/>
      <c r="AV30" s="132"/>
    </row>
    <row r="31" spans="2:48">
      <c r="B31" s="662"/>
      <c r="C31" s="804"/>
      <c r="D31" s="551">
        <v>2</v>
      </c>
      <c r="E31" s="625" t="s">
        <v>394</v>
      </c>
      <c r="F31" s="626" t="s">
        <v>395</v>
      </c>
      <c r="G31" s="552" t="s">
        <v>108</v>
      </c>
      <c r="H31" s="536" t="s">
        <v>108</v>
      </c>
      <c r="I31" s="536" t="s">
        <v>108</v>
      </c>
      <c r="J31" s="536" t="s">
        <v>116</v>
      </c>
      <c r="K31" s="537" t="s">
        <v>116</v>
      </c>
      <c r="L31" s="537" t="s">
        <v>116</v>
      </c>
      <c r="M31" s="538" t="s">
        <v>117</v>
      </c>
      <c r="N31" s="558">
        <v>72</v>
      </c>
      <c r="O31" s="536" t="s">
        <v>108</v>
      </c>
      <c r="P31" s="536" t="s">
        <v>108</v>
      </c>
      <c r="Q31" s="536" t="s">
        <v>108</v>
      </c>
      <c r="R31" s="536" t="s">
        <v>116</v>
      </c>
      <c r="S31" s="537" t="s">
        <v>116</v>
      </c>
      <c r="T31" s="536" t="s">
        <v>116</v>
      </c>
      <c r="U31" s="538" t="s">
        <v>117</v>
      </c>
      <c r="V31" s="558">
        <v>72</v>
      </c>
      <c r="W31" s="536" t="s">
        <v>108</v>
      </c>
      <c r="X31" s="536" t="s">
        <v>108</v>
      </c>
      <c r="Y31" s="536" t="s">
        <v>116</v>
      </c>
      <c r="Z31" s="537" t="s">
        <v>116</v>
      </c>
      <c r="AA31" s="536" t="s">
        <v>116</v>
      </c>
      <c r="AB31" s="537" t="s">
        <v>116</v>
      </c>
      <c r="AC31" s="538" t="s">
        <v>117</v>
      </c>
      <c r="AD31" s="558">
        <v>72</v>
      </c>
      <c r="AE31" s="537" t="s">
        <v>108</v>
      </c>
      <c r="AF31" s="536" t="s">
        <v>108</v>
      </c>
      <c r="AG31" s="536" t="s">
        <v>108</v>
      </c>
      <c r="AH31" s="536" t="s">
        <v>116</v>
      </c>
      <c r="AI31" s="537" t="s">
        <v>116</v>
      </c>
      <c r="AJ31" s="538" t="s">
        <v>117</v>
      </c>
      <c r="AK31" s="538" t="s">
        <v>117</v>
      </c>
      <c r="AL31" s="539">
        <v>60</v>
      </c>
      <c r="AM31" s="541" t="e">
        <v>#REF!</v>
      </c>
      <c r="AN31" s="541">
        <v>20</v>
      </c>
      <c r="AT31" s="132"/>
      <c r="AU31" s="132"/>
      <c r="AV31" s="132"/>
    </row>
    <row r="32" spans="2:48">
      <c r="B32" s="662"/>
      <c r="C32" s="804"/>
      <c r="D32" s="551">
        <v>3</v>
      </c>
      <c r="E32" s="628" t="s">
        <v>408</v>
      </c>
      <c r="F32" s="626" t="s">
        <v>409</v>
      </c>
      <c r="G32" s="553" t="s">
        <v>108</v>
      </c>
      <c r="H32" s="536" t="s">
        <v>108</v>
      </c>
      <c r="I32" s="537" t="s">
        <v>116</v>
      </c>
      <c r="J32" s="537" t="s">
        <v>116</v>
      </c>
      <c r="K32" s="538" t="s">
        <v>117</v>
      </c>
      <c r="L32" s="538" t="s">
        <v>117</v>
      </c>
      <c r="M32" s="536" t="s">
        <v>108</v>
      </c>
      <c r="N32" s="558">
        <v>60</v>
      </c>
      <c r="O32" s="536" t="s">
        <v>108</v>
      </c>
      <c r="P32" s="537" t="s">
        <v>116</v>
      </c>
      <c r="Q32" s="537" t="s">
        <v>116</v>
      </c>
      <c r="R32" s="537" t="s">
        <v>116</v>
      </c>
      <c r="S32" s="538" t="s">
        <v>117</v>
      </c>
      <c r="T32" s="537" t="s">
        <v>108</v>
      </c>
      <c r="U32" s="536" t="s">
        <v>108</v>
      </c>
      <c r="V32" s="558">
        <v>72</v>
      </c>
      <c r="W32" s="536" t="s">
        <v>108</v>
      </c>
      <c r="X32" s="537" t="s">
        <v>116</v>
      </c>
      <c r="Y32" s="537" t="s">
        <v>116</v>
      </c>
      <c r="Z32" s="537" t="s">
        <v>116</v>
      </c>
      <c r="AA32" s="538" t="s">
        <v>117</v>
      </c>
      <c r="AB32" s="536" t="s">
        <v>108</v>
      </c>
      <c r="AC32" s="536" t="s">
        <v>108</v>
      </c>
      <c r="AD32" s="558">
        <v>60</v>
      </c>
      <c r="AE32" s="536" t="s">
        <v>108</v>
      </c>
      <c r="AF32" s="536" t="s">
        <v>116</v>
      </c>
      <c r="AG32" s="537" t="s">
        <v>116</v>
      </c>
      <c r="AH32" s="537" t="s">
        <v>116</v>
      </c>
      <c r="AI32" s="538" t="s">
        <v>117</v>
      </c>
      <c r="AJ32" s="536" t="s">
        <v>108</v>
      </c>
      <c r="AK32" s="537" t="s">
        <v>108</v>
      </c>
      <c r="AL32" s="539">
        <v>72</v>
      </c>
      <c r="AM32" s="541" t="e">
        <v>#REF!</v>
      </c>
      <c r="AN32" s="541">
        <v>20</v>
      </c>
      <c r="AT32" s="132"/>
      <c r="AU32" s="132"/>
      <c r="AV32" s="132"/>
    </row>
    <row r="33" spans="2:48">
      <c r="B33" s="662"/>
      <c r="C33" s="804">
        <v>2</v>
      </c>
      <c r="D33" s="551">
        <v>4</v>
      </c>
      <c r="E33" s="631" t="s">
        <v>428</v>
      </c>
      <c r="F33" s="631" t="s">
        <v>429</v>
      </c>
      <c r="G33" s="554" t="s">
        <v>117</v>
      </c>
      <c r="H33" s="542" t="s">
        <v>117</v>
      </c>
      <c r="I33" s="536" t="s">
        <v>108</v>
      </c>
      <c r="J33" s="536" t="s">
        <v>108</v>
      </c>
      <c r="K33" s="537" t="s">
        <v>116</v>
      </c>
      <c r="L33" s="537" t="s">
        <v>116</v>
      </c>
      <c r="M33" s="537" t="s">
        <v>116</v>
      </c>
      <c r="N33" s="558">
        <v>60</v>
      </c>
      <c r="O33" s="543" t="s">
        <v>117</v>
      </c>
      <c r="P33" s="536" t="s">
        <v>108</v>
      </c>
      <c r="Q33" s="536" t="s">
        <v>108</v>
      </c>
      <c r="R33" s="536" t="s">
        <v>108</v>
      </c>
      <c r="S33" s="537" t="s">
        <v>116</v>
      </c>
      <c r="T33" s="537" t="s">
        <v>116</v>
      </c>
      <c r="U33" s="537" t="s">
        <v>116</v>
      </c>
      <c r="V33" s="557">
        <v>72</v>
      </c>
      <c r="W33" s="538" t="s">
        <v>117</v>
      </c>
      <c r="X33" s="536" t="s">
        <v>108</v>
      </c>
      <c r="Y33" s="536" t="s">
        <v>108</v>
      </c>
      <c r="Z33" s="536" t="s">
        <v>108</v>
      </c>
      <c r="AA33" s="537" t="s">
        <v>116</v>
      </c>
      <c r="AB33" s="537" t="s">
        <v>116</v>
      </c>
      <c r="AC33" s="536" t="s">
        <v>116</v>
      </c>
      <c r="AD33" s="557">
        <v>72</v>
      </c>
      <c r="AE33" s="538" t="s">
        <v>117</v>
      </c>
      <c r="AF33" s="537" t="s">
        <v>108</v>
      </c>
      <c r="AG33" s="537" t="s">
        <v>108</v>
      </c>
      <c r="AH33" s="537" t="s">
        <v>108</v>
      </c>
      <c r="AI33" s="537" t="s">
        <v>116</v>
      </c>
      <c r="AJ33" s="537" t="s">
        <v>116</v>
      </c>
      <c r="AK33" s="537" t="s">
        <v>116</v>
      </c>
      <c r="AL33" s="539">
        <v>72</v>
      </c>
      <c r="AM33" s="540" t="e">
        <v>#REF!</v>
      </c>
      <c r="AN33" s="541">
        <v>20</v>
      </c>
      <c r="AT33" s="132"/>
      <c r="AU33" s="132"/>
      <c r="AV33" s="132"/>
    </row>
    <row r="34" spans="2:48">
      <c r="B34" s="662"/>
      <c r="C34" s="804"/>
      <c r="D34" s="551">
        <v>5</v>
      </c>
      <c r="E34" s="635"/>
      <c r="F34" s="635" t="s">
        <v>900</v>
      </c>
      <c r="G34" s="553" t="s">
        <v>108</v>
      </c>
      <c r="H34" s="537" t="s">
        <v>108</v>
      </c>
      <c r="I34" s="543" t="s">
        <v>117</v>
      </c>
      <c r="J34" s="536" t="s">
        <v>108</v>
      </c>
      <c r="K34" s="536" t="s">
        <v>108</v>
      </c>
      <c r="L34" s="537" t="s">
        <v>116</v>
      </c>
      <c r="M34" s="537" t="s">
        <v>116</v>
      </c>
      <c r="N34" s="557">
        <v>72</v>
      </c>
      <c r="O34" s="536" t="s">
        <v>116</v>
      </c>
      <c r="P34" s="538" t="s">
        <v>117</v>
      </c>
      <c r="Q34" s="538" t="s">
        <v>117</v>
      </c>
      <c r="R34" s="537" t="s">
        <v>108</v>
      </c>
      <c r="S34" s="536" t="s">
        <v>108</v>
      </c>
      <c r="T34" s="536" t="s">
        <v>116</v>
      </c>
      <c r="U34" s="536" t="s">
        <v>116</v>
      </c>
      <c r="V34" s="557">
        <v>60</v>
      </c>
      <c r="W34" s="536" t="s">
        <v>116</v>
      </c>
      <c r="X34" s="538" t="s">
        <v>117</v>
      </c>
      <c r="Y34" s="536" t="s">
        <v>108</v>
      </c>
      <c r="Z34" s="536" t="s">
        <v>108</v>
      </c>
      <c r="AA34" s="536" t="s">
        <v>108</v>
      </c>
      <c r="AB34" s="536" t="s">
        <v>116</v>
      </c>
      <c r="AC34" s="537" t="s">
        <v>116</v>
      </c>
      <c r="AD34" s="557">
        <v>72</v>
      </c>
      <c r="AE34" s="537" t="s">
        <v>116</v>
      </c>
      <c r="AF34" s="538" t="s">
        <v>117</v>
      </c>
      <c r="AG34" s="538" t="s">
        <v>117</v>
      </c>
      <c r="AH34" s="536" t="s">
        <v>108</v>
      </c>
      <c r="AI34" s="536" t="s">
        <v>108</v>
      </c>
      <c r="AJ34" s="536" t="s">
        <v>116</v>
      </c>
      <c r="AK34" s="536" t="s">
        <v>116</v>
      </c>
      <c r="AL34" s="539">
        <v>60</v>
      </c>
      <c r="AM34" s="541" t="e">
        <v>#REF!</v>
      </c>
      <c r="AN34" s="541">
        <v>20</v>
      </c>
      <c r="AT34" s="132"/>
      <c r="AU34" s="132"/>
      <c r="AV34" s="132"/>
    </row>
    <row r="35" spans="2:48">
      <c r="B35" s="662"/>
      <c r="C35" s="804">
        <v>3</v>
      </c>
      <c r="D35" s="551">
        <v>6</v>
      </c>
      <c r="E35" s="624" t="s">
        <v>432</v>
      </c>
      <c r="F35" s="624" t="s">
        <v>433</v>
      </c>
      <c r="G35" s="552" t="s">
        <v>116</v>
      </c>
      <c r="H35" s="537" t="s">
        <v>116</v>
      </c>
      <c r="I35" s="537" t="s">
        <v>116</v>
      </c>
      <c r="J35" s="538" t="s">
        <v>117</v>
      </c>
      <c r="K35" s="536" t="s">
        <v>108</v>
      </c>
      <c r="L35" s="536" t="s">
        <v>108</v>
      </c>
      <c r="M35" s="536" t="s">
        <v>108</v>
      </c>
      <c r="N35" s="557">
        <v>72</v>
      </c>
      <c r="O35" s="536" t="s">
        <v>116</v>
      </c>
      <c r="P35" s="537" t="s">
        <v>116</v>
      </c>
      <c r="Q35" s="537" t="s">
        <v>116</v>
      </c>
      <c r="R35" s="538" t="s">
        <v>117</v>
      </c>
      <c r="S35" s="536" t="s">
        <v>108</v>
      </c>
      <c r="T35" s="536" t="s">
        <v>108</v>
      </c>
      <c r="U35" s="536" t="s">
        <v>108</v>
      </c>
      <c r="V35" s="557">
        <v>72</v>
      </c>
      <c r="W35" s="537" t="s">
        <v>116</v>
      </c>
      <c r="X35" s="537" t="s">
        <v>116</v>
      </c>
      <c r="Y35" s="538" t="s">
        <v>117</v>
      </c>
      <c r="Z35" s="538" t="s">
        <v>117</v>
      </c>
      <c r="AA35" s="536" t="s">
        <v>108</v>
      </c>
      <c r="AB35" s="536" t="s">
        <v>108</v>
      </c>
      <c r="AC35" s="536" t="s">
        <v>108</v>
      </c>
      <c r="AD35" s="557">
        <v>60</v>
      </c>
      <c r="AE35" s="537" t="s">
        <v>116</v>
      </c>
      <c r="AF35" s="537" t="s">
        <v>116</v>
      </c>
      <c r="AG35" s="537" t="s">
        <v>116</v>
      </c>
      <c r="AH35" s="538" t="s">
        <v>117</v>
      </c>
      <c r="AI35" s="536" t="s">
        <v>108</v>
      </c>
      <c r="AJ35" s="537" t="s">
        <v>108</v>
      </c>
      <c r="AK35" s="537" t="s">
        <v>108</v>
      </c>
      <c r="AL35" s="539">
        <v>72</v>
      </c>
      <c r="AM35" s="540" t="e">
        <v>#REF!</v>
      </c>
      <c r="AN35" s="541">
        <v>20</v>
      </c>
      <c r="AT35" s="132"/>
      <c r="AU35" s="132"/>
      <c r="AV35" s="132"/>
    </row>
    <row r="36" spans="2:48">
      <c r="B36" s="662"/>
      <c r="C36" s="804"/>
      <c r="D36" s="551">
        <v>7</v>
      </c>
      <c r="E36" s="624" t="s">
        <v>426</v>
      </c>
      <c r="F36" s="624" t="s">
        <v>427</v>
      </c>
      <c r="G36" s="552" t="s">
        <v>108</v>
      </c>
      <c r="H36" s="536" t="s">
        <v>108</v>
      </c>
      <c r="I36" s="536" t="s">
        <v>108</v>
      </c>
      <c r="J36" s="536" t="s">
        <v>116</v>
      </c>
      <c r="K36" s="537" t="s">
        <v>116</v>
      </c>
      <c r="L36" s="331" t="s">
        <v>117</v>
      </c>
      <c r="M36" s="538" t="s">
        <v>117</v>
      </c>
      <c r="N36" s="558">
        <v>60</v>
      </c>
      <c r="O36" s="536" t="s">
        <v>108</v>
      </c>
      <c r="P36" s="536" t="s">
        <v>108</v>
      </c>
      <c r="Q36" s="536" t="s">
        <v>108</v>
      </c>
      <c r="R36" s="536" t="s">
        <v>116</v>
      </c>
      <c r="S36" s="537" t="s">
        <v>116</v>
      </c>
      <c r="T36" s="536" t="s">
        <v>116</v>
      </c>
      <c r="U36" s="538" t="s">
        <v>117</v>
      </c>
      <c r="V36" s="558">
        <v>72</v>
      </c>
      <c r="W36" s="536" t="s">
        <v>108</v>
      </c>
      <c r="X36" s="536" t="s">
        <v>108</v>
      </c>
      <c r="Y36" s="536" t="s">
        <v>116</v>
      </c>
      <c r="Z36" s="537" t="s">
        <v>116</v>
      </c>
      <c r="AA36" s="536" t="s">
        <v>116</v>
      </c>
      <c r="AB36" s="331" t="s">
        <v>117</v>
      </c>
      <c r="AC36" s="538" t="s">
        <v>117</v>
      </c>
      <c r="AD36" s="558">
        <v>60</v>
      </c>
      <c r="AE36" s="537" t="s">
        <v>108</v>
      </c>
      <c r="AF36" s="536" t="s">
        <v>108</v>
      </c>
      <c r="AG36" s="536" t="s">
        <v>108</v>
      </c>
      <c r="AH36" s="536" t="s">
        <v>116</v>
      </c>
      <c r="AI36" s="537" t="s">
        <v>116</v>
      </c>
      <c r="AJ36" s="536" t="s">
        <v>116</v>
      </c>
      <c r="AK36" s="538" t="s">
        <v>117</v>
      </c>
      <c r="AL36" s="539">
        <v>72</v>
      </c>
      <c r="AM36" s="541" t="e">
        <v>#REF!</v>
      </c>
      <c r="AN36" s="541">
        <v>20</v>
      </c>
      <c r="AT36" s="132"/>
      <c r="AU36" s="132"/>
      <c r="AV36" s="132"/>
    </row>
    <row r="37" spans="2:48">
      <c r="B37" s="662"/>
      <c r="C37" s="804"/>
      <c r="D37" s="551">
        <v>8</v>
      </c>
      <c r="E37" s="624" t="s">
        <v>416</v>
      </c>
      <c r="F37" s="624" t="s">
        <v>417</v>
      </c>
      <c r="G37" s="553" t="s">
        <v>108</v>
      </c>
      <c r="H37" s="536" t="s">
        <v>108</v>
      </c>
      <c r="I37" s="537" t="s">
        <v>116</v>
      </c>
      <c r="J37" s="537" t="s">
        <v>116</v>
      </c>
      <c r="K37" s="538" t="s">
        <v>117</v>
      </c>
      <c r="L37" s="536" t="s">
        <v>108</v>
      </c>
      <c r="M37" s="536" t="s">
        <v>108</v>
      </c>
      <c r="N37" s="558">
        <v>60</v>
      </c>
      <c r="O37" s="536" t="s">
        <v>108</v>
      </c>
      <c r="P37" s="537" t="s">
        <v>116</v>
      </c>
      <c r="Q37" s="537" t="s">
        <v>116</v>
      </c>
      <c r="R37" s="537" t="s">
        <v>116</v>
      </c>
      <c r="S37" s="538" t="s">
        <v>117</v>
      </c>
      <c r="T37" s="536" t="s">
        <v>108</v>
      </c>
      <c r="U37" s="536" t="s">
        <v>108</v>
      </c>
      <c r="V37" s="557">
        <v>72</v>
      </c>
      <c r="W37" s="536" t="s">
        <v>108</v>
      </c>
      <c r="X37" s="537" t="s">
        <v>116</v>
      </c>
      <c r="Y37" s="537" t="s">
        <v>116</v>
      </c>
      <c r="Z37" s="537" t="s">
        <v>116</v>
      </c>
      <c r="AA37" s="538" t="s">
        <v>117</v>
      </c>
      <c r="AB37" s="538" t="s">
        <v>117</v>
      </c>
      <c r="AC37" s="536" t="s">
        <v>108</v>
      </c>
      <c r="AD37" s="557">
        <v>60</v>
      </c>
      <c r="AE37" s="536" t="s">
        <v>108</v>
      </c>
      <c r="AF37" s="536" t="s">
        <v>116</v>
      </c>
      <c r="AG37" s="537" t="s">
        <v>116</v>
      </c>
      <c r="AH37" s="537" t="s">
        <v>116</v>
      </c>
      <c r="AI37" s="538" t="s">
        <v>117</v>
      </c>
      <c r="AJ37" s="536" t="s">
        <v>108</v>
      </c>
      <c r="AK37" s="537" t="s">
        <v>108</v>
      </c>
      <c r="AL37" s="539">
        <v>72</v>
      </c>
      <c r="AM37" s="541" t="e">
        <v>#REF!</v>
      </c>
      <c r="AN37" s="541">
        <v>20</v>
      </c>
      <c r="AT37" s="132"/>
      <c r="AU37" s="132"/>
      <c r="AV37" s="132"/>
    </row>
    <row r="38" spans="2:48">
      <c r="B38" s="662"/>
      <c r="C38" s="804">
        <v>4</v>
      </c>
      <c r="D38" s="551">
        <v>9</v>
      </c>
      <c r="E38" s="624" t="s">
        <v>426</v>
      </c>
      <c r="F38" s="624" t="s">
        <v>858</v>
      </c>
      <c r="G38" s="554" t="s">
        <v>117</v>
      </c>
      <c r="H38" s="542" t="s">
        <v>117</v>
      </c>
      <c r="I38" s="536" t="s">
        <v>108</v>
      </c>
      <c r="J38" s="536" t="s">
        <v>108</v>
      </c>
      <c r="K38" s="537" t="s">
        <v>116</v>
      </c>
      <c r="L38" s="537" t="s">
        <v>116</v>
      </c>
      <c r="M38" s="537" t="s">
        <v>116</v>
      </c>
      <c r="N38" s="558">
        <v>60</v>
      </c>
      <c r="O38" s="543" t="s">
        <v>117</v>
      </c>
      <c r="P38" s="536" t="s">
        <v>108</v>
      </c>
      <c r="Q38" s="536" t="s">
        <v>108</v>
      </c>
      <c r="R38" s="536" t="s">
        <v>108</v>
      </c>
      <c r="S38" s="537" t="s">
        <v>116</v>
      </c>
      <c r="T38" s="537" t="s">
        <v>116</v>
      </c>
      <c r="U38" s="537" t="s">
        <v>116</v>
      </c>
      <c r="V38" s="557">
        <v>72</v>
      </c>
      <c r="W38" s="538" t="s">
        <v>117</v>
      </c>
      <c r="X38" s="536" t="s">
        <v>108</v>
      </c>
      <c r="Y38" s="536" t="s">
        <v>108</v>
      </c>
      <c r="Z38" s="536" t="s">
        <v>108</v>
      </c>
      <c r="AA38" s="537" t="s">
        <v>116</v>
      </c>
      <c r="AB38" s="537" t="s">
        <v>116</v>
      </c>
      <c r="AC38" s="536" t="s">
        <v>116</v>
      </c>
      <c r="AD38" s="557">
        <v>72</v>
      </c>
      <c r="AE38" s="538" t="s">
        <v>117</v>
      </c>
      <c r="AF38" s="537" t="s">
        <v>108</v>
      </c>
      <c r="AG38" s="537" t="s">
        <v>108</v>
      </c>
      <c r="AH38" s="537" t="s">
        <v>108</v>
      </c>
      <c r="AI38" s="537" t="s">
        <v>116</v>
      </c>
      <c r="AJ38" s="537" t="s">
        <v>116</v>
      </c>
      <c r="AK38" s="537" t="s">
        <v>116</v>
      </c>
      <c r="AL38" s="539">
        <v>72</v>
      </c>
      <c r="AM38" s="540" t="e">
        <v>#REF!</v>
      </c>
      <c r="AN38" s="541">
        <v>20</v>
      </c>
      <c r="AT38" s="132"/>
      <c r="AU38" s="132"/>
      <c r="AV38" s="132"/>
    </row>
    <row r="39" spans="2:48">
      <c r="B39" s="662"/>
      <c r="C39" s="804"/>
      <c r="D39" s="551">
        <v>10</v>
      </c>
      <c r="E39" s="625" t="s">
        <v>392</v>
      </c>
      <c r="F39" s="625" t="s">
        <v>393</v>
      </c>
      <c r="G39" s="553" t="s">
        <v>116</v>
      </c>
      <c r="H39" s="537" t="s">
        <v>116</v>
      </c>
      <c r="I39" s="543" t="s">
        <v>117</v>
      </c>
      <c r="J39" s="536" t="s">
        <v>108</v>
      </c>
      <c r="K39" s="536" t="s">
        <v>108</v>
      </c>
      <c r="L39" s="537" t="s">
        <v>116</v>
      </c>
      <c r="M39" s="537" t="s">
        <v>116</v>
      </c>
      <c r="N39" s="557">
        <v>72</v>
      </c>
      <c r="O39" s="536" t="s">
        <v>116</v>
      </c>
      <c r="P39" s="538" t="s">
        <v>117</v>
      </c>
      <c r="Q39" s="538" t="s">
        <v>117</v>
      </c>
      <c r="R39" s="537" t="s">
        <v>108</v>
      </c>
      <c r="S39" s="536" t="s">
        <v>108</v>
      </c>
      <c r="T39" s="536" t="s">
        <v>108</v>
      </c>
      <c r="U39" s="536" t="s">
        <v>116</v>
      </c>
      <c r="V39" s="557">
        <v>60</v>
      </c>
      <c r="W39" s="536" t="s">
        <v>116</v>
      </c>
      <c r="X39" s="538" t="s">
        <v>117</v>
      </c>
      <c r="Y39" s="536" t="s">
        <v>108</v>
      </c>
      <c r="Z39" s="536" t="s">
        <v>108</v>
      </c>
      <c r="AA39" s="536" t="s">
        <v>108</v>
      </c>
      <c r="AB39" s="536" t="s">
        <v>116</v>
      </c>
      <c r="AC39" s="537" t="s">
        <v>116</v>
      </c>
      <c r="AD39" s="557">
        <v>72</v>
      </c>
      <c r="AE39" s="537" t="s">
        <v>116</v>
      </c>
      <c r="AF39" s="538" t="s">
        <v>117</v>
      </c>
      <c r="AG39" s="538" t="s">
        <v>117</v>
      </c>
      <c r="AH39" s="536" t="s">
        <v>108</v>
      </c>
      <c r="AI39" s="536" t="s">
        <v>108</v>
      </c>
      <c r="AJ39" s="536" t="s">
        <v>108</v>
      </c>
      <c r="AK39" s="536" t="s">
        <v>116</v>
      </c>
      <c r="AL39" s="539">
        <v>60</v>
      </c>
      <c r="AM39" s="541" t="e">
        <v>#REF!</v>
      </c>
      <c r="AN39" s="541">
        <v>20</v>
      </c>
      <c r="AT39" s="132"/>
      <c r="AU39" s="132"/>
      <c r="AV39" s="132"/>
    </row>
    <row r="40" spans="2:48">
      <c r="B40" s="662"/>
      <c r="C40" s="804">
        <v>5</v>
      </c>
      <c r="D40" s="551">
        <v>11</v>
      </c>
      <c r="E40" s="624" t="s">
        <v>414</v>
      </c>
      <c r="F40" s="624" t="s">
        <v>415</v>
      </c>
      <c r="G40" s="552" t="s">
        <v>116</v>
      </c>
      <c r="H40" s="537" t="s">
        <v>116</v>
      </c>
      <c r="I40" s="537" t="s">
        <v>116</v>
      </c>
      <c r="J40" s="538" t="s">
        <v>117</v>
      </c>
      <c r="K40" s="536" t="s">
        <v>108</v>
      </c>
      <c r="L40" s="536" t="s">
        <v>108</v>
      </c>
      <c r="M40" s="536" t="s">
        <v>108</v>
      </c>
      <c r="N40" s="557">
        <v>72</v>
      </c>
      <c r="O40" s="536" t="s">
        <v>116</v>
      </c>
      <c r="P40" s="537" t="s">
        <v>116</v>
      </c>
      <c r="Q40" s="537" t="s">
        <v>116</v>
      </c>
      <c r="R40" s="538" t="s">
        <v>117</v>
      </c>
      <c r="S40" s="536" t="s">
        <v>108</v>
      </c>
      <c r="T40" s="536" t="s">
        <v>108</v>
      </c>
      <c r="U40" s="536" t="s">
        <v>108</v>
      </c>
      <c r="V40" s="557">
        <v>72</v>
      </c>
      <c r="W40" s="537" t="s">
        <v>116</v>
      </c>
      <c r="X40" s="537" t="s">
        <v>116</v>
      </c>
      <c r="Y40" s="538" t="s">
        <v>117</v>
      </c>
      <c r="Z40" s="538" t="s">
        <v>117</v>
      </c>
      <c r="AA40" s="536" t="s">
        <v>108</v>
      </c>
      <c r="AB40" s="536" t="s">
        <v>108</v>
      </c>
      <c r="AC40" s="536" t="s">
        <v>108</v>
      </c>
      <c r="AD40" s="557">
        <v>60</v>
      </c>
      <c r="AE40" s="537" t="s">
        <v>116</v>
      </c>
      <c r="AF40" s="537" t="s">
        <v>116</v>
      </c>
      <c r="AG40" s="537" t="s">
        <v>116</v>
      </c>
      <c r="AH40" s="538" t="s">
        <v>117</v>
      </c>
      <c r="AI40" s="536" t="s">
        <v>108</v>
      </c>
      <c r="AJ40" s="537" t="s">
        <v>108</v>
      </c>
      <c r="AK40" s="537" t="s">
        <v>108</v>
      </c>
      <c r="AL40" s="539">
        <v>72</v>
      </c>
      <c r="AM40" s="540" t="e">
        <v>#REF!</v>
      </c>
      <c r="AN40" s="541">
        <v>20</v>
      </c>
      <c r="AT40" s="132"/>
      <c r="AU40" s="132"/>
      <c r="AV40" s="132"/>
    </row>
    <row r="41" spans="2:48">
      <c r="B41" s="662"/>
      <c r="C41" s="804"/>
      <c r="D41" s="551">
        <v>12</v>
      </c>
      <c r="E41" s="632" t="s">
        <v>422</v>
      </c>
      <c r="F41" s="623" t="s">
        <v>423</v>
      </c>
      <c r="G41" s="552" t="s">
        <v>108</v>
      </c>
      <c r="H41" s="536" t="s">
        <v>108</v>
      </c>
      <c r="I41" s="536" t="s">
        <v>108</v>
      </c>
      <c r="J41" s="536" t="s">
        <v>116</v>
      </c>
      <c r="K41" s="537" t="s">
        <v>116</v>
      </c>
      <c r="L41" s="331" t="s">
        <v>117</v>
      </c>
      <c r="M41" s="538" t="s">
        <v>117</v>
      </c>
      <c r="N41" s="558">
        <v>60</v>
      </c>
      <c r="O41" s="536" t="s">
        <v>108</v>
      </c>
      <c r="P41" s="536" t="s">
        <v>108</v>
      </c>
      <c r="Q41" s="536" t="s">
        <v>108</v>
      </c>
      <c r="R41" s="536" t="s">
        <v>116</v>
      </c>
      <c r="S41" s="537" t="s">
        <v>116</v>
      </c>
      <c r="T41" s="537" t="s">
        <v>116</v>
      </c>
      <c r="U41" s="538" t="s">
        <v>117</v>
      </c>
      <c r="V41" s="557">
        <v>72</v>
      </c>
      <c r="W41" s="536" t="s">
        <v>108</v>
      </c>
      <c r="X41" s="536" t="s">
        <v>108</v>
      </c>
      <c r="Y41" s="536" t="s">
        <v>116</v>
      </c>
      <c r="Z41" s="537" t="s">
        <v>116</v>
      </c>
      <c r="AA41" s="536" t="s">
        <v>116</v>
      </c>
      <c r="AB41" s="538" t="s">
        <v>117</v>
      </c>
      <c r="AC41" s="538" t="s">
        <v>117</v>
      </c>
      <c r="AD41" s="557">
        <v>60</v>
      </c>
      <c r="AE41" s="537" t="s">
        <v>108</v>
      </c>
      <c r="AF41" s="536" t="s">
        <v>108</v>
      </c>
      <c r="AG41" s="536" t="s">
        <v>108</v>
      </c>
      <c r="AH41" s="536" t="s">
        <v>116</v>
      </c>
      <c r="AI41" s="537" t="s">
        <v>116</v>
      </c>
      <c r="AJ41" s="536" t="s">
        <v>116</v>
      </c>
      <c r="AK41" s="538" t="s">
        <v>117</v>
      </c>
      <c r="AL41" s="539">
        <v>72</v>
      </c>
      <c r="AM41" s="541" t="e">
        <v>#REF!</v>
      </c>
      <c r="AN41" s="541">
        <v>20</v>
      </c>
      <c r="AT41" s="132"/>
      <c r="AU41" s="132"/>
      <c r="AV41" s="132"/>
    </row>
    <row r="42" spans="2:48">
      <c r="B42" s="662"/>
      <c r="C42" s="804"/>
      <c r="D42" s="551">
        <v>13</v>
      </c>
      <c r="E42" s="629" t="s">
        <v>400</v>
      </c>
      <c r="F42" s="629" t="s">
        <v>401</v>
      </c>
      <c r="G42" s="553" t="s">
        <v>108</v>
      </c>
      <c r="H42" s="536" t="s">
        <v>108</v>
      </c>
      <c r="I42" s="537" t="s">
        <v>116</v>
      </c>
      <c r="J42" s="537" t="s">
        <v>116</v>
      </c>
      <c r="K42" s="538" t="s">
        <v>117</v>
      </c>
      <c r="L42" s="536" t="s">
        <v>108</v>
      </c>
      <c r="M42" s="536" t="s">
        <v>108</v>
      </c>
      <c r="N42" s="558">
        <v>72</v>
      </c>
      <c r="O42" s="536" t="s">
        <v>108</v>
      </c>
      <c r="P42" s="537" t="s">
        <v>108</v>
      </c>
      <c r="Q42" s="537" t="s">
        <v>116</v>
      </c>
      <c r="R42" s="537" t="s">
        <v>116</v>
      </c>
      <c r="S42" s="538" t="s">
        <v>117</v>
      </c>
      <c r="T42" s="536" t="s">
        <v>108</v>
      </c>
      <c r="U42" s="536" t="s">
        <v>108</v>
      </c>
      <c r="V42" s="557">
        <v>72</v>
      </c>
      <c r="W42" s="536" t="s">
        <v>108</v>
      </c>
      <c r="X42" s="537" t="s">
        <v>116</v>
      </c>
      <c r="Y42" s="537" t="s">
        <v>116</v>
      </c>
      <c r="Z42" s="537" t="s">
        <v>116</v>
      </c>
      <c r="AA42" s="538" t="s">
        <v>117</v>
      </c>
      <c r="AB42" s="538" t="s">
        <v>117</v>
      </c>
      <c r="AC42" s="536" t="s">
        <v>108</v>
      </c>
      <c r="AD42" s="557">
        <v>60</v>
      </c>
      <c r="AE42" s="537" t="s">
        <v>108</v>
      </c>
      <c r="AF42" s="536" t="s">
        <v>116</v>
      </c>
      <c r="AG42" s="537" t="s">
        <v>116</v>
      </c>
      <c r="AH42" s="537" t="s">
        <v>116</v>
      </c>
      <c r="AI42" s="538" t="s">
        <v>117</v>
      </c>
      <c r="AJ42" s="536" t="s">
        <v>108</v>
      </c>
      <c r="AK42" s="537" t="s">
        <v>108</v>
      </c>
      <c r="AL42" s="539">
        <v>72</v>
      </c>
      <c r="AM42" s="544" t="e">
        <v>#REF!</v>
      </c>
      <c r="AN42" s="541">
        <v>20</v>
      </c>
      <c r="AT42" s="132"/>
      <c r="AU42" s="132"/>
      <c r="AV42" s="132"/>
    </row>
    <row r="43" spans="2:48">
      <c r="B43" s="662"/>
      <c r="C43" s="804">
        <v>6</v>
      </c>
      <c r="D43" s="551">
        <v>14</v>
      </c>
      <c r="E43" s="625" t="s">
        <v>859</v>
      </c>
      <c r="F43" s="625" t="s">
        <v>860</v>
      </c>
      <c r="G43" s="554" t="s">
        <v>117</v>
      </c>
      <c r="H43" s="542" t="s">
        <v>117</v>
      </c>
      <c r="I43" s="536" t="s">
        <v>108</v>
      </c>
      <c r="J43" s="536" t="s">
        <v>108</v>
      </c>
      <c r="K43" s="537" t="s">
        <v>116</v>
      </c>
      <c r="L43" s="537" t="s">
        <v>116</v>
      </c>
      <c r="M43" s="537" t="s">
        <v>116</v>
      </c>
      <c r="N43" s="557">
        <v>60</v>
      </c>
      <c r="O43" s="543" t="s">
        <v>117</v>
      </c>
      <c r="P43" s="538" t="s">
        <v>117</v>
      </c>
      <c r="Q43" s="536" t="s">
        <v>108</v>
      </c>
      <c r="R43" s="536" t="s">
        <v>108</v>
      </c>
      <c r="S43" s="537" t="s">
        <v>116</v>
      </c>
      <c r="T43" s="537" t="s">
        <v>116</v>
      </c>
      <c r="U43" s="537" t="s">
        <v>116</v>
      </c>
      <c r="V43" s="557">
        <v>60</v>
      </c>
      <c r="W43" s="538" t="s">
        <v>117</v>
      </c>
      <c r="X43" s="536" t="s">
        <v>108</v>
      </c>
      <c r="Y43" s="536" t="s">
        <v>108</v>
      </c>
      <c r="Z43" s="536" t="s">
        <v>108</v>
      </c>
      <c r="AA43" s="537" t="s">
        <v>116</v>
      </c>
      <c r="AB43" s="537" t="s">
        <v>116</v>
      </c>
      <c r="AC43" s="536" t="s">
        <v>116</v>
      </c>
      <c r="AD43" s="557">
        <v>72</v>
      </c>
      <c r="AE43" s="538" t="s">
        <v>117</v>
      </c>
      <c r="AF43" s="537" t="s">
        <v>108</v>
      </c>
      <c r="AG43" s="537" t="s">
        <v>108</v>
      </c>
      <c r="AH43" s="537" t="s">
        <v>108</v>
      </c>
      <c r="AI43" s="537" t="s">
        <v>116</v>
      </c>
      <c r="AJ43" s="537" t="s">
        <v>116</v>
      </c>
      <c r="AK43" s="537" t="s">
        <v>116</v>
      </c>
      <c r="AL43" s="539">
        <v>72</v>
      </c>
      <c r="AM43" s="540" t="e">
        <v>#REF!</v>
      </c>
      <c r="AN43" s="541">
        <v>20</v>
      </c>
      <c r="AT43" s="132"/>
      <c r="AU43" s="132"/>
      <c r="AV43" s="132"/>
    </row>
    <row r="44" spans="2:48">
      <c r="B44" s="662"/>
      <c r="C44" s="804"/>
      <c r="D44" s="551">
        <v>15</v>
      </c>
      <c r="E44" s="623" t="s">
        <v>833</v>
      </c>
      <c r="F44" s="623" t="s">
        <v>832</v>
      </c>
      <c r="G44" s="553" t="s">
        <v>116</v>
      </c>
      <c r="H44" s="537" t="s">
        <v>116</v>
      </c>
      <c r="I44" s="543" t="s">
        <v>117</v>
      </c>
      <c r="J44" s="536" t="s">
        <v>108</v>
      </c>
      <c r="K44" s="536" t="s">
        <v>108</v>
      </c>
      <c r="L44" s="537" t="s">
        <v>116</v>
      </c>
      <c r="M44" s="537" t="s">
        <v>116</v>
      </c>
      <c r="N44" s="557">
        <v>72</v>
      </c>
      <c r="O44" s="536" t="s">
        <v>116</v>
      </c>
      <c r="P44" s="536" t="s">
        <v>116</v>
      </c>
      <c r="Q44" s="538" t="s">
        <v>117</v>
      </c>
      <c r="R44" s="537" t="s">
        <v>108</v>
      </c>
      <c r="S44" s="536" t="s">
        <v>108</v>
      </c>
      <c r="T44" s="536" t="s">
        <v>116</v>
      </c>
      <c r="U44" s="536" t="s">
        <v>116</v>
      </c>
      <c r="V44" s="557">
        <v>72</v>
      </c>
      <c r="W44" s="536" t="s">
        <v>116</v>
      </c>
      <c r="X44" s="538" t="s">
        <v>117</v>
      </c>
      <c r="Y44" s="536" t="s">
        <v>108</v>
      </c>
      <c r="Z44" s="536" t="s">
        <v>108</v>
      </c>
      <c r="AA44" s="536" t="s">
        <v>108</v>
      </c>
      <c r="AB44" s="536" t="s">
        <v>116</v>
      </c>
      <c r="AC44" s="537" t="s">
        <v>116</v>
      </c>
      <c r="AD44" s="557">
        <v>72</v>
      </c>
      <c r="AE44" s="537" t="s">
        <v>116</v>
      </c>
      <c r="AF44" s="538" t="s">
        <v>117</v>
      </c>
      <c r="AG44" s="538" t="s">
        <v>117</v>
      </c>
      <c r="AH44" s="536" t="s">
        <v>108</v>
      </c>
      <c r="AI44" s="536" t="s">
        <v>108</v>
      </c>
      <c r="AJ44" s="536" t="s">
        <v>108</v>
      </c>
      <c r="AK44" s="536" t="s">
        <v>116</v>
      </c>
      <c r="AL44" s="539">
        <v>60</v>
      </c>
      <c r="AM44" s="541" t="e">
        <v>#REF!</v>
      </c>
      <c r="AN44" s="541">
        <v>20</v>
      </c>
      <c r="AT44" s="132"/>
      <c r="AU44" s="132"/>
      <c r="AV44" s="132"/>
    </row>
    <row r="45" spans="2:48">
      <c r="B45" s="337" t="s">
        <v>138</v>
      </c>
      <c r="C45" s="336"/>
      <c r="D45" s="551">
        <v>16</v>
      </c>
      <c r="E45" s="623" t="s">
        <v>440</v>
      </c>
      <c r="F45" s="623" t="s">
        <v>441</v>
      </c>
      <c r="G45" s="561" t="s">
        <v>108</v>
      </c>
      <c r="H45" s="333" t="s">
        <v>108</v>
      </c>
      <c r="I45" s="333" t="s">
        <v>108</v>
      </c>
      <c r="J45" s="333" t="s">
        <v>108</v>
      </c>
      <c r="K45" s="333" t="s">
        <v>108</v>
      </c>
      <c r="L45" s="333" t="s">
        <v>108</v>
      </c>
      <c r="M45" s="331" t="s">
        <v>117</v>
      </c>
      <c r="N45" s="558">
        <v>72</v>
      </c>
      <c r="O45" s="333" t="s">
        <v>108</v>
      </c>
      <c r="P45" s="333" t="s">
        <v>108</v>
      </c>
      <c r="Q45" s="333" t="s">
        <v>108</v>
      </c>
      <c r="R45" s="333" t="s">
        <v>108</v>
      </c>
      <c r="S45" s="333" t="s">
        <v>108</v>
      </c>
      <c r="T45" s="538" t="s">
        <v>117</v>
      </c>
      <c r="U45" s="331" t="s">
        <v>117</v>
      </c>
      <c r="V45" s="557">
        <v>60</v>
      </c>
      <c r="W45" s="333" t="s">
        <v>108</v>
      </c>
      <c r="X45" s="333" t="s">
        <v>108</v>
      </c>
      <c r="Y45" s="333" t="s">
        <v>108</v>
      </c>
      <c r="Z45" s="333" t="s">
        <v>108</v>
      </c>
      <c r="AA45" s="333" t="s">
        <v>108</v>
      </c>
      <c r="AB45" s="333" t="s">
        <v>108</v>
      </c>
      <c r="AC45" s="331" t="s">
        <v>117</v>
      </c>
      <c r="AD45" s="557">
        <v>72</v>
      </c>
      <c r="AE45" s="333" t="s">
        <v>108</v>
      </c>
      <c r="AF45" s="333" t="s">
        <v>108</v>
      </c>
      <c r="AG45" s="333" t="s">
        <v>108</v>
      </c>
      <c r="AH45" s="333" t="s">
        <v>108</v>
      </c>
      <c r="AI45" s="333" t="s">
        <v>108</v>
      </c>
      <c r="AJ45" s="538" t="s">
        <v>117</v>
      </c>
      <c r="AK45" s="331" t="s">
        <v>117</v>
      </c>
      <c r="AL45" s="539">
        <v>60</v>
      </c>
      <c r="AM45" s="541" t="e">
        <v>#REF!</v>
      </c>
      <c r="AN45" s="541">
        <v>20</v>
      </c>
      <c r="AT45" s="132"/>
      <c r="AU45" s="132"/>
      <c r="AV45" s="132"/>
    </row>
    <row r="46" spans="2:48">
      <c r="B46" s="337" t="s">
        <v>139</v>
      </c>
      <c r="C46" s="336"/>
      <c r="D46" s="551">
        <v>17</v>
      </c>
      <c r="E46" s="632" t="s">
        <v>442</v>
      </c>
      <c r="F46" s="623" t="s">
        <v>443</v>
      </c>
      <c r="G46" s="561" t="s">
        <v>108</v>
      </c>
      <c r="H46" s="333" t="s">
        <v>108</v>
      </c>
      <c r="I46" s="333" t="s">
        <v>108</v>
      </c>
      <c r="J46" s="333" t="s">
        <v>108</v>
      </c>
      <c r="K46" s="333" t="s">
        <v>108</v>
      </c>
      <c r="L46" s="331" t="s">
        <v>117</v>
      </c>
      <c r="M46" s="331" t="s">
        <v>117</v>
      </c>
      <c r="N46" s="557">
        <v>72</v>
      </c>
      <c r="O46" s="333" t="s">
        <v>108</v>
      </c>
      <c r="P46" s="333" t="s">
        <v>108</v>
      </c>
      <c r="Q46" s="333" t="s">
        <v>108</v>
      </c>
      <c r="R46" s="333" t="s">
        <v>108</v>
      </c>
      <c r="S46" s="333" t="s">
        <v>108</v>
      </c>
      <c r="T46" s="536" t="s">
        <v>108</v>
      </c>
      <c r="U46" s="331" t="s">
        <v>117</v>
      </c>
      <c r="V46" s="557">
        <v>60</v>
      </c>
      <c r="W46" s="333" t="s">
        <v>108</v>
      </c>
      <c r="X46" s="333" t="s">
        <v>108</v>
      </c>
      <c r="Y46" s="333" t="s">
        <v>108</v>
      </c>
      <c r="Z46" s="333" t="s">
        <v>108</v>
      </c>
      <c r="AA46" s="333" t="s">
        <v>108</v>
      </c>
      <c r="AB46" s="333" t="s">
        <v>108</v>
      </c>
      <c r="AC46" s="331" t="s">
        <v>117</v>
      </c>
      <c r="AD46" s="557">
        <v>72</v>
      </c>
      <c r="AE46" s="333" t="s">
        <v>108</v>
      </c>
      <c r="AF46" s="333" t="s">
        <v>108</v>
      </c>
      <c r="AG46" s="333" t="s">
        <v>108</v>
      </c>
      <c r="AH46" s="333" t="s">
        <v>108</v>
      </c>
      <c r="AI46" s="333" t="s">
        <v>108</v>
      </c>
      <c r="AJ46" s="538" t="s">
        <v>117</v>
      </c>
      <c r="AK46" s="331" t="s">
        <v>117</v>
      </c>
      <c r="AL46" s="539">
        <v>60</v>
      </c>
      <c r="AM46" s="541" t="e">
        <v>#REF!</v>
      </c>
      <c r="AN46" s="541">
        <v>20</v>
      </c>
      <c r="AT46" s="132"/>
      <c r="AU46" s="132"/>
      <c r="AV46" s="132"/>
    </row>
    <row r="47" spans="2:48">
      <c r="B47" s="330"/>
      <c r="C47" s="330"/>
      <c r="D47" s="545"/>
      <c r="E47" s="546"/>
      <c r="F47" s="547"/>
      <c r="G47" s="548"/>
      <c r="H47" s="548"/>
      <c r="I47" s="548"/>
      <c r="J47" s="548"/>
      <c r="K47" s="548"/>
      <c r="L47" s="548"/>
      <c r="M47" s="548"/>
      <c r="N47" s="549">
        <v>1140</v>
      </c>
      <c r="O47" s="548"/>
      <c r="P47" s="548"/>
      <c r="Q47" s="548"/>
      <c r="R47" s="548"/>
      <c r="S47" s="548"/>
      <c r="T47" s="548"/>
      <c r="U47" s="548"/>
      <c r="V47" s="549">
        <v>1164</v>
      </c>
      <c r="W47" s="548"/>
      <c r="X47" s="548"/>
      <c r="Y47" s="548"/>
      <c r="Z47" s="548"/>
      <c r="AA47" s="548"/>
      <c r="AB47" s="548"/>
      <c r="AC47" s="548"/>
      <c r="AD47" s="549">
        <v>1128</v>
      </c>
      <c r="AE47" s="548"/>
      <c r="AF47" s="548"/>
      <c r="AG47" s="548"/>
      <c r="AH47" s="548"/>
      <c r="AI47" s="548"/>
      <c r="AJ47" s="548"/>
      <c r="AK47" s="548"/>
      <c r="AL47" s="526">
        <v>1152</v>
      </c>
      <c r="AM47" s="527"/>
      <c r="AN47" s="527"/>
      <c r="AT47" s="132"/>
      <c r="AU47" s="132"/>
      <c r="AV47" s="132"/>
    </row>
    <row r="48" spans="2:48">
      <c r="B48" s="330"/>
      <c r="C48" s="330"/>
      <c r="D48" s="535" t="s">
        <v>132</v>
      </c>
      <c r="E48" s="535" t="s">
        <v>133</v>
      </c>
      <c r="F48" s="535" t="s">
        <v>101</v>
      </c>
      <c r="G48" s="548"/>
      <c r="H48" s="548"/>
      <c r="I48" s="548"/>
      <c r="J48" s="548"/>
      <c r="K48" s="548"/>
      <c r="L48" s="548"/>
      <c r="M48" s="548"/>
      <c r="N48" s="549">
        <f>SUM(N30:N46)</f>
        <v>1140</v>
      </c>
      <c r="O48" s="548"/>
      <c r="P48" s="548"/>
      <c r="Q48" s="548"/>
      <c r="R48" s="548"/>
      <c r="S48" s="548"/>
      <c r="T48" s="548"/>
      <c r="U48" s="548"/>
      <c r="V48" s="549">
        <f>SUM(V30:V46)</f>
        <v>1164</v>
      </c>
      <c r="W48" s="548"/>
      <c r="X48" s="548"/>
      <c r="Y48" s="548"/>
      <c r="Z48" s="548"/>
      <c r="AA48" s="548"/>
      <c r="AB48" s="548"/>
      <c r="AC48" s="548"/>
      <c r="AD48" s="549">
        <f>SUM(AD30:AD46)</f>
        <v>1128</v>
      </c>
      <c r="AE48" s="548"/>
      <c r="AF48" s="548"/>
      <c r="AG48" s="548"/>
      <c r="AH48" s="548"/>
      <c r="AI48" s="548"/>
      <c r="AJ48" s="548"/>
      <c r="AK48" s="548"/>
      <c r="AL48" s="549">
        <f>SUM(AL30:AL46)</f>
        <v>1152</v>
      </c>
      <c r="AM48" s="527"/>
      <c r="AN48" s="527"/>
      <c r="AT48" s="132"/>
      <c r="AU48" s="132"/>
      <c r="AV48" s="132"/>
    </row>
    <row r="49" spans="2:48">
      <c r="B49" s="330"/>
      <c r="C49" s="330"/>
      <c r="D49" s="524" t="s">
        <v>108</v>
      </c>
      <c r="E49" s="524" t="s">
        <v>377</v>
      </c>
      <c r="F49" s="524" t="s">
        <v>380</v>
      </c>
      <c r="G49" s="548"/>
      <c r="H49" s="548"/>
      <c r="I49" s="548"/>
      <c r="J49" s="548"/>
      <c r="K49" s="548"/>
      <c r="L49" s="548"/>
      <c r="M49" s="548"/>
      <c r="N49" s="549"/>
      <c r="O49" s="548"/>
      <c r="P49" s="548"/>
      <c r="Q49" s="548"/>
      <c r="R49" s="548"/>
      <c r="S49" s="548"/>
      <c r="T49" s="548"/>
      <c r="U49" s="548"/>
      <c r="V49" s="549"/>
      <c r="W49" s="548"/>
      <c r="X49" s="548"/>
      <c r="Y49" s="548"/>
      <c r="Z49" s="548"/>
      <c r="AA49" s="548"/>
      <c r="AB49" s="548"/>
      <c r="AC49" s="548"/>
      <c r="AD49" s="549"/>
      <c r="AE49" s="548"/>
      <c r="AF49" s="548"/>
      <c r="AG49" s="548"/>
      <c r="AH49" s="548"/>
      <c r="AI49" s="548"/>
      <c r="AJ49" s="548"/>
      <c r="AK49" s="548"/>
      <c r="AL49" s="525"/>
      <c r="AM49" s="527"/>
      <c r="AN49" s="527"/>
      <c r="AT49" s="132"/>
      <c r="AU49" s="132"/>
      <c r="AV49" s="132"/>
    </row>
    <row r="50" spans="2:48">
      <c r="B50" s="330"/>
      <c r="C50" s="330"/>
      <c r="D50" s="524" t="s">
        <v>116</v>
      </c>
      <c r="E50" s="524" t="s">
        <v>379</v>
      </c>
      <c r="F50" s="524" t="s">
        <v>380</v>
      </c>
      <c r="G50" s="548"/>
      <c r="H50" s="548"/>
      <c r="I50" s="548"/>
      <c r="J50" s="548"/>
      <c r="K50" s="548"/>
      <c r="L50" s="548"/>
      <c r="M50" s="548"/>
      <c r="N50" s="549"/>
      <c r="O50" s="548"/>
      <c r="P50" s="548"/>
      <c r="Q50" s="548"/>
      <c r="R50" s="548"/>
      <c r="S50" s="548"/>
      <c r="T50" s="548"/>
      <c r="U50" s="548"/>
      <c r="V50" s="549"/>
      <c r="W50" s="548"/>
      <c r="X50" s="548"/>
      <c r="Y50" s="548"/>
      <c r="Z50" s="548"/>
      <c r="AA50" s="548"/>
      <c r="AB50" s="548"/>
      <c r="AC50" s="548"/>
      <c r="AD50" s="549"/>
      <c r="AE50" s="548"/>
      <c r="AF50" s="548"/>
      <c r="AG50" s="548"/>
      <c r="AH50" s="548"/>
      <c r="AI50" s="548"/>
      <c r="AJ50" s="548"/>
      <c r="AK50" s="548"/>
      <c r="AL50" s="525"/>
      <c r="AM50" s="527"/>
      <c r="AN50" s="527"/>
      <c r="AT50" s="132"/>
      <c r="AU50" s="132"/>
      <c r="AV50" s="132"/>
    </row>
    <row r="51" spans="2:48">
      <c r="B51" s="330"/>
      <c r="C51" s="330"/>
      <c r="D51" s="524" t="s">
        <v>117</v>
      </c>
      <c r="E51" s="524" t="s">
        <v>119</v>
      </c>
      <c r="F51" s="524" t="s">
        <v>380</v>
      </c>
      <c r="G51" s="548"/>
      <c r="H51" s="548"/>
      <c r="I51" s="548"/>
      <c r="J51" s="548"/>
      <c r="K51" s="548"/>
      <c r="L51" s="548"/>
      <c r="M51" s="548"/>
      <c r="N51" s="549"/>
      <c r="O51" s="548"/>
      <c r="P51" s="548"/>
      <c r="Q51" s="548"/>
      <c r="R51" s="548"/>
      <c r="S51" s="548"/>
      <c r="T51" s="548"/>
      <c r="U51" s="548"/>
      <c r="V51" s="549"/>
      <c r="W51" s="548"/>
      <c r="X51" s="548"/>
      <c r="Y51" s="548"/>
      <c r="Z51" s="548"/>
      <c r="AA51" s="548"/>
      <c r="AB51" s="548"/>
      <c r="AC51" s="548"/>
      <c r="AD51" s="549"/>
      <c r="AE51" s="548"/>
      <c r="AF51" s="548"/>
      <c r="AG51" s="548"/>
      <c r="AH51" s="548"/>
      <c r="AI51" s="548"/>
      <c r="AJ51" s="548"/>
      <c r="AK51" s="548"/>
      <c r="AL51" s="525"/>
      <c r="AM51" s="527"/>
      <c r="AN51" s="527"/>
      <c r="AT51" s="132"/>
      <c r="AU51" s="132"/>
      <c r="AV51" s="132"/>
    </row>
    <row r="52" spans="2:48">
      <c r="B52" s="330"/>
      <c r="C52" s="330"/>
      <c r="D52" s="545"/>
      <c r="E52" s="546"/>
      <c r="F52" s="547"/>
      <c r="G52" s="548"/>
      <c r="H52" s="548"/>
      <c r="I52" s="548"/>
      <c r="J52" s="548"/>
      <c r="K52" s="548"/>
      <c r="L52" s="548"/>
      <c r="M52" s="548"/>
      <c r="N52" s="549"/>
      <c r="O52" s="548"/>
      <c r="P52" s="548"/>
      <c r="Q52" s="548"/>
      <c r="R52" s="548"/>
      <c r="S52" s="548"/>
      <c r="T52" s="548"/>
      <c r="U52" s="548"/>
      <c r="V52" s="549"/>
      <c r="W52" s="548"/>
      <c r="X52" s="548"/>
      <c r="Y52" s="548"/>
      <c r="Z52" s="548"/>
      <c r="AA52" s="548"/>
      <c r="AB52" s="548"/>
      <c r="AC52" s="548"/>
      <c r="AD52" s="549"/>
      <c r="AE52" s="548"/>
      <c r="AF52" s="548"/>
      <c r="AG52" s="548"/>
      <c r="AH52" s="548"/>
      <c r="AI52" s="548"/>
      <c r="AJ52" s="548"/>
      <c r="AK52" s="548"/>
      <c r="AL52" s="525"/>
      <c r="AM52" s="527"/>
      <c r="AN52" s="527"/>
      <c r="AT52" s="132"/>
      <c r="AU52" s="132"/>
      <c r="AV52" s="132"/>
    </row>
    <row r="53" spans="2:48" ht="15" customHeight="1">
      <c r="B53" s="676" t="s">
        <v>126</v>
      </c>
      <c r="C53" s="676" t="s">
        <v>127</v>
      </c>
      <c r="D53" s="528" t="s">
        <v>101</v>
      </c>
      <c r="E53" s="528" t="s">
        <v>45</v>
      </c>
      <c r="F53" s="528" t="s">
        <v>102</v>
      </c>
      <c r="G53" s="529" t="s">
        <v>103</v>
      </c>
      <c r="H53" s="529" t="s">
        <v>104</v>
      </c>
      <c r="I53" s="529" t="s">
        <v>104</v>
      </c>
      <c r="J53" s="529" t="s">
        <v>105</v>
      </c>
      <c r="K53" s="529" t="s">
        <v>106</v>
      </c>
      <c r="L53" s="529" t="s">
        <v>107</v>
      </c>
      <c r="M53" s="529" t="s">
        <v>108</v>
      </c>
      <c r="N53" s="796" t="s">
        <v>109</v>
      </c>
      <c r="O53" s="530" t="s">
        <v>103</v>
      </c>
      <c r="P53" s="530" t="s">
        <v>104</v>
      </c>
      <c r="Q53" s="530" t="s">
        <v>104</v>
      </c>
      <c r="R53" s="530" t="s">
        <v>105</v>
      </c>
      <c r="S53" s="530" t="s">
        <v>106</v>
      </c>
      <c r="T53" s="530" t="s">
        <v>107</v>
      </c>
      <c r="U53" s="530" t="s">
        <v>108</v>
      </c>
      <c r="V53" s="796" t="s">
        <v>109</v>
      </c>
      <c r="W53" s="531" t="s">
        <v>103</v>
      </c>
      <c r="X53" s="531" t="s">
        <v>104</v>
      </c>
      <c r="Y53" s="531" t="s">
        <v>104</v>
      </c>
      <c r="Z53" s="531" t="s">
        <v>105</v>
      </c>
      <c r="AA53" s="531" t="s">
        <v>106</v>
      </c>
      <c r="AB53" s="531" t="s">
        <v>107</v>
      </c>
      <c r="AC53" s="531" t="s">
        <v>108</v>
      </c>
      <c r="AD53" s="796" t="s">
        <v>109</v>
      </c>
      <c r="AE53" s="532" t="s">
        <v>103</v>
      </c>
      <c r="AF53" s="532" t="s">
        <v>104</v>
      </c>
      <c r="AG53" s="532" t="s">
        <v>104</v>
      </c>
      <c r="AH53" s="533" t="s">
        <v>105</v>
      </c>
      <c r="AI53" s="533" t="s">
        <v>106</v>
      </c>
      <c r="AJ53" s="533" t="s">
        <v>107</v>
      </c>
      <c r="AK53" s="533" t="s">
        <v>108</v>
      </c>
      <c r="AL53" s="796" t="s">
        <v>109</v>
      </c>
      <c r="AM53" s="642" t="s">
        <v>129</v>
      </c>
      <c r="AN53" s="642" t="s">
        <v>111</v>
      </c>
      <c r="AT53" s="132"/>
      <c r="AU53" s="132"/>
      <c r="AV53" s="132"/>
    </row>
    <row r="54" spans="2:48">
      <c r="B54" s="676"/>
      <c r="C54" s="676"/>
      <c r="D54" s="528" t="s">
        <v>112</v>
      </c>
      <c r="E54" s="528" t="s">
        <v>845</v>
      </c>
      <c r="F54" s="528" t="s">
        <v>113</v>
      </c>
      <c r="G54" s="643">
        <v>7</v>
      </c>
      <c r="H54" s="643">
        <v>8</v>
      </c>
      <c r="I54" s="643">
        <v>9</v>
      </c>
      <c r="J54" s="643">
        <v>10</v>
      </c>
      <c r="K54" s="643">
        <v>11</v>
      </c>
      <c r="L54" s="643">
        <v>12</v>
      </c>
      <c r="M54" s="643">
        <v>13</v>
      </c>
      <c r="N54" s="796"/>
      <c r="O54" s="643">
        <v>14</v>
      </c>
      <c r="P54" s="643">
        <v>15</v>
      </c>
      <c r="Q54" s="643">
        <v>16</v>
      </c>
      <c r="R54" s="643">
        <v>17</v>
      </c>
      <c r="S54" s="643">
        <v>18</v>
      </c>
      <c r="T54" s="643">
        <v>19</v>
      </c>
      <c r="U54" s="643">
        <v>20</v>
      </c>
      <c r="V54" s="796"/>
      <c r="W54" s="643">
        <v>21</v>
      </c>
      <c r="X54" s="643">
        <v>22</v>
      </c>
      <c r="Y54" s="643">
        <v>23</v>
      </c>
      <c r="Z54" s="643">
        <v>24</v>
      </c>
      <c r="AA54" s="643">
        <v>25</v>
      </c>
      <c r="AB54" s="643">
        <v>26</v>
      </c>
      <c r="AC54" s="643">
        <v>27</v>
      </c>
      <c r="AD54" s="796"/>
      <c r="AE54" s="643">
        <v>28</v>
      </c>
      <c r="AF54" s="643">
        <v>29</v>
      </c>
      <c r="AG54" s="643">
        <v>30</v>
      </c>
      <c r="AH54" s="643">
        <v>1</v>
      </c>
      <c r="AI54" s="643">
        <v>2</v>
      </c>
      <c r="AJ54" s="643">
        <v>3</v>
      </c>
      <c r="AK54" s="643">
        <v>4</v>
      </c>
      <c r="AL54" s="796"/>
      <c r="AM54" s="642"/>
      <c r="AN54" s="642"/>
      <c r="AT54" s="132"/>
      <c r="AU54" s="132"/>
      <c r="AV54" s="132"/>
    </row>
    <row r="55" spans="2:48">
      <c r="B55" s="676"/>
      <c r="C55" s="676"/>
      <c r="D55" s="534" t="s">
        <v>42</v>
      </c>
      <c r="E55" s="535" t="s">
        <v>114</v>
      </c>
      <c r="F55" s="535" t="s">
        <v>115</v>
      </c>
      <c r="G55" s="643"/>
      <c r="H55" s="643"/>
      <c r="I55" s="643"/>
      <c r="J55" s="643"/>
      <c r="K55" s="643"/>
      <c r="L55" s="643"/>
      <c r="M55" s="643"/>
      <c r="N55" s="796"/>
      <c r="O55" s="643"/>
      <c r="P55" s="643"/>
      <c r="Q55" s="643"/>
      <c r="R55" s="643"/>
      <c r="S55" s="643"/>
      <c r="T55" s="643"/>
      <c r="U55" s="643"/>
      <c r="V55" s="796"/>
      <c r="W55" s="643"/>
      <c r="X55" s="643"/>
      <c r="Y55" s="643"/>
      <c r="Z55" s="643"/>
      <c r="AA55" s="643"/>
      <c r="AB55" s="643"/>
      <c r="AC55" s="643"/>
      <c r="AD55" s="796"/>
      <c r="AE55" s="643"/>
      <c r="AF55" s="643"/>
      <c r="AG55" s="643"/>
      <c r="AH55" s="643"/>
      <c r="AI55" s="643"/>
      <c r="AJ55" s="643"/>
      <c r="AK55" s="643"/>
      <c r="AL55" s="796"/>
      <c r="AM55" s="642"/>
      <c r="AN55" s="642"/>
      <c r="AT55" s="132"/>
      <c r="AU55" s="132"/>
      <c r="AV55" s="132"/>
    </row>
    <row r="56" spans="2:48">
      <c r="B56" s="662" t="s">
        <v>142</v>
      </c>
      <c r="C56" s="803" t="s">
        <v>143</v>
      </c>
      <c r="D56" s="550">
        <v>1</v>
      </c>
      <c r="E56" s="586" t="s">
        <v>861</v>
      </c>
      <c r="F56" s="586" t="s">
        <v>445</v>
      </c>
      <c r="G56" s="542" t="s">
        <v>117</v>
      </c>
      <c r="H56" s="537" t="s">
        <v>116</v>
      </c>
      <c r="I56" s="537" t="s">
        <v>116</v>
      </c>
      <c r="J56" s="538" t="s">
        <v>117</v>
      </c>
      <c r="K56" s="536" t="s">
        <v>108</v>
      </c>
      <c r="L56" s="536" t="s">
        <v>108</v>
      </c>
      <c r="M56" s="587" t="s">
        <v>108</v>
      </c>
      <c r="N56" s="588">
        <v>60</v>
      </c>
      <c r="O56" s="536" t="s">
        <v>116</v>
      </c>
      <c r="P56" s="537" t="s">
        <v>116</v>
      </c>
      <c r="Q56" s="537" t="s">
        <v>116</v>
      </c>
      <c r="R56" s="538" t="s">
        <v>117</v>
      </c>
      <c r="S56" s="536" t="s">
        <v>108</v>
      </c>
      <c r="T56" s="537" t="s">
        <v>116</v>
      </c>
      <c r="U56" s="537" t="s">
        <v>116</v>
      </c>
      <c r="V56" s="588">
        <v>72</v>
      </c>
      <c r="W56" s="537" t="s">
        <v>116</v>
      </c>
      <c r="X56" s="537" t="s">
        <v>116</v>
      </c>
      <c r="Y56" s="538" t="s">
        <v>117</v>
      </c>
      <c r="Z56" s="538" t="s">
        <v>117</v>
      </c>
      <c r="AA56" s="536" t="s">
        <v>108</v>
      </c>
      <c r="AB56" s="536" t="s">
        <v>108</v>
      </c>
      <c r="AC56" s="536" t="s">
        <v>108</v>
      </c>
      <c r="AD56" s="588">
        <v>72</v>
      </c>
      <c r="AE56" s="536" t="s">
        <v>116</v>
      </c>
      <c r="AF56" s="537" t="s">
        <v>116</v>
      </c>
      <c r="AG56" s="537" t="s">
        <v>116</v>
      </c>
      <c r="AH56" s="538" t="s">
        <v>117</v>
      </c>
      <c r="AI56" s="536" t="s">
        <v>108</v>
      </c>
      <c r="AJ56" s="536" t="s">
        <v>108</v>
      </c>
      <c r="AK56" s="536" t="s">
        <v>108</v>
      </c>
      <c r="AL56" s="539">
        <v>60</v>
      </c>
      <c r="AM56" s="524">
        <v>276</v>
      </c>
      <c r="AN56" s="541">
        <v>20</v>
      </c>
      <c r="AT56" s="132"/>
      <c r="AU56" s="132"/>
      <c r="AV56" s="132"/>
    </row>
    <row r="57" spans="2:48">
      <c r="B57" s="662"/>
      <c r="C57" s="803"/>
      <c r="D57" s="550">
        <v>2</v>
      </c>
      <c r="E57" s="586" t="s">
        <v>447</v>
      </c>
      <c r="F57" s="586" t="s">
        <v>448</v>
      </c>
      <c r="G57" s="536" t="s">
        <v>108</v>
      </c>
      <c r="H57" s="536" t="s">
        <v>108</v>
      </c>
      <c r="I57" s="536" t="s">
        <v>108</v>
      </c>
      <c r="J57" s="536" t="s">
        <v>116</v>
      </c>
      <c r="K57" s="537" t="s">
        <v>116</v>
      </c>
      <c r="L57" s="537" t="s">
        <v>116</v>
      </c>
      <c r="M57" s="538" t="s">
        <v>117</v>
      </c>
      <c r="N57" s="589">
        <v>72</v>
      </c>
      <c r="O57" s="536" t="s">
        <v>108</v>
      </c>
      <c r="P57" s="536" t="s">
        <v>108</v>
      </c>
      <c r="Q57" s="536" t="s">
        <v>108</v>
      </c>
      <c r="R57" s="536" t="s">
        <v>108</v>
      </c>
      <c r="S57" s="537" t="s">
        <v>116</v>
      </c>
      <c r="T57" s="538" t="s">
        <v>117</v>
      </c>
      <c r="U57" s="538" t="s">
        <v>117</v>
      </c>
      <c r="V57" s="589">
        <v>60</v>
      </c>
      <c r="W57" s="536" t="s">
        <v>108</v>
      </c>
      <c r="X57" s="536" t="s">
        <v>108</v>
      </c>
      <c r="Y57" s="536" t="s">
        <v>116</v>
      </c>
      <c r="Z57" s="537" t="s">
        <v>116</v>
      </c>
      <c r="AA57" s="536" t="s">
        <v>116</v>
      </c>
      <c r="AB57" s="537" t="s">
        <v>116</v>
      </c>
      <c r="AC57" s="538" t="s">
        <v>117</v>
      </c>
      <c r="AD57" s="589">
        <v>60</v>
      </c>
      <c r="AE57" s="536" t="s">
        <v>108</v>
      </c>
      <c r="AF57" s="536" t="s">
        <v>108</v>
      </c>
      <c r="AG57" s="537" t="s">
        <v>116</v>
      </c>
      <c r="AH57" s="537" t="s">
        <v>116</v>
      </c>
      <c r="AI57" s="537" t="s">
        <v>116</v>
      </c>
      <c r="AJ57" s="538" t="s">
        <v>117</v>
      </c>
      <c r="AK57" s="538" t="s">
        <v>117</v>
      </c>
      <c r="AL57" s="539">
        <v>72</v>
      </c>
      <c r="AM57" s="524">
        <v>264</v>
      </c>
      <c r="AN57" s="541">
        <v>20</v>
      </c>
      <c r="AT57" s="132"/>
      <c r="AU57" s="132"/>
      <c r="AV57" s="132"/>
    </row>
    <row r="58" spans="2:48">
      <c r="B58" s="662"/>
      <c r="C58" s="803"/>
      <c r="D58" s="550">
        <v>3</v>
      </c>
      <c r="E58" s="586" t="s">
        <v>783</v>
      </c>
      <c r="F58" s="586" t="s">
        <v>446</v>
      </c>
      <c r="G58" s="537" t="s">
        <v>108</v>
      </c>
      <c r="H58" s="536" t="s">
        <v>108</v>
      </c>
      <c r="I58" s="537" t="s">
        <v>116</v>
      </c>
      <c r="J58" s="537" t="s">
        <v>116</v>
      </c>
      <c r="K58" s="538" t="s">
        <v>117</v>
      </c>
      <c r="L58" s="538" t="s">
        <v>117</v>
      </c>
      <c r="M58" s="536" t="s">
        <v>108</v>
      </c>
      <c r="N58" s="589">
        <v>60</v>
      </c>
      <c r="O58" s="536" t="s">
        <v>108</v>
      </c>
      <c r="P58" s="537" t="s">
        <v>116</v>
      </c>
      <c r="Q58" s="537" t="s">
        <v>116</v>
      </c>
      <c r="R58" s="537" t="s">
        <v>116</v>
      </c>
      <c r="S58" s="538" t="s">
        <v>117</v>
      </c>
      <c r="T58" s="536" t="s">
        <v>108</v>
      </c>
      <c r="U58" s="536" t="s">
        <v>108</v>
      </c>
      <c r="V58" s="588">
        <v>72</v>
      </c>
      <c r="W58" s="536" t="s">
        <v>108</v>
      </c>
      <c r="X58" s="537" t="s">
        <v>116</v>
      </c>
      <c r="Y58" s="537" t="s">
        <v>116</v>
      </c>
      <c r="Z58" s="537" t="s">
        <v>116</v>
      </c>
      <c r="AA58" s="538" t="s">
        <v>117</v>
      </c>
      <c r="AB58" s="538" t="s">
        <v>117</v>
      </c>
      <c r="AC58" s="536" t="s">
        <v>108</v>
      </c>
      <c r="AD58" s="588">
        <v>72</v>
      </c>
      <c r="AE58" s="536" t="s">
        <v>108</v>
      </c>
      <c r="AF58" s="537" t="s">
        <v>116</v>
      </c>
      <c r="AG58" s="537" t="s">
        <v>116</v>
      </c>
      <c r="AH58" s="537" t="s">
        <v>116</v>
      </c>
      <c r="AI58" s="538" t="s">
        <v>117</v>
      </c>
      <c r="AJ58" s="536" t="s">
        <v>108</v>
      </c>
      <c r="AK58" s="536" t="s">
        <v>108</v>
      </c>
      <c r="AL58" s="539">
        <v>60</v>
      </c>
      <c r="AM58" s="524">
        <v>264</v>
      </c>
      <c r="AN58" s="541">
        <v>20</v>
      </c>
      <c r="AT58" s="132"/>
      <c r="AU58" s="132"/>
      <c r="AV58" s="132"/>
    </row>
    <row r="59" spans="2:48">
      <c r="B59" s="662"/>
      <c r="C59" s="803"/>
      <c r="D59" s="550">
        <v>4</v>
      </c>
      <c r="E59" s="586" t="s">
        <v>449</v>
      </c>
      <c r="F59" s="586" t="s">
        <v>450</v>
      </c>
      <c r="G59" s="542" t="s">
        <v>117</v>
      </c>
      <c r="H59" s="542" t="s">
        <v>117</v>
      </c>
      <c r="I59" s="536" t="s">
        <v>108</v>
      </c>
      <c r="J59" s="536" t="s">
        <v>108</v>
      </c>
      <c r="K59" s="537" t="s">
        <v>116</v>
      </c>
      <c r="L59" s="537" t="s">
        <v>116</v>
      </c>
      <c r="M59" s="537" t="s">
        <v>116</v>
      </c>
      <c r="N59" s="589">
        <v>60</v>
      </c>
      <c r="O59" s="543" t="s">
        <v>117</v>
      </c>
      <c r="P59" s="536" t="s">
        <v>108</v>
      </c>
      <c r="Q59" s="536" t="s">
        <v>108</v>
      </c>
      <c r="R59" s="536" t="s">
        <v>108</v>
      </c>
      <c r="S59" s="537" t="s">
        <v>116</v>
      </c>
      <c r="T59" s="537" t="s">
        <v>116</v>
      </c>
      <c r="U59" s="537" t="s">
        <v>116</v>
      </c>
      <c r="V59" s="588">
        <v>72</v>
      </c>
      <c r="W59" s="538" t="s">
        <v>117</v>
      </c>
      <c r="X59" s="536" t="s">
        <v>108</v>
      </c>
      <c r="Y59" s="536" t="s">
        <v>108</v>
      </c>
      <c r="Z59" s="537" t="s">
        <v>116</v>
      </c>
      <c r="AA59" s="537" t="s">
        <v>116</v>
      </c>
      <c r="AB59" s="537" t="s">
        <v>116</v>
      </c>
      <c r="AC59" s="536" t="s">
        <v>116</v>
      </c>
      <c r="AD59" s="588">
        <v>72</v>
      </c>
      <c r="AE59" s="543" t="s">
        <v>117</v>
      </c>
      <c r="AF59" s="536" t="s">
        <v>108</v>
      </c>
      <c r="AG59" s="536" t="s">
        <v>108</v>
      </c>
      <c r="AH59" s="536" t="s">
        <v>108</v>
      </c>
      <c r="AI59" s="537" t="s">
        <v>116</v>
      </c>
      <c r="AJ59" s="537" t="s">
        <v>116</v>
      </c>
      <c r="AK59" s="537" t="s">
        <v>116</v>
      </c>
      <c r="AL59" s="539">
        <v>72</v>
      </c>
      <c r="AM59" s="524">
        <v>276</v>
      </c>
      <c r="AN59" s="541">
        <v>20</v>
      </c>
      <c r="AT59" s="132"/>
      <c r="AU59" s="132"/>
      <c r="AV59" s="132"/>
    </row>
    <row r="60" spans="2:48">
      <c r="B60" s="662"/>
      <c r="C60" s="803"/>
      <c r="D60" s="550">
        <v>5</v>
      </c>
      <c r="E60" s="586" t="s">
        <v>451</v>
      </c>
      <c r="F60" s="586" t="s">
        <v>452</v>
      </c>
      <c r="G60" s="537" t="s">
        <v>116</v>
      </c>
      <c r="H60" s="537" t="s">
        <v>116</v>
      </c>
      <c r="I60" s="543" t="s">
        <v>117</v>
      </c>
      <c r="J60" s="536" t="s">
        <v>108</v>
      </c>
      <c r="K60" s="536" t="s">
        <v>108</v>
      </c>
      <c r="L60" s="587" t="s">
        <v>108</v>
      </c>
      <c r="M60" s="537" t="s">
        <v>116</v>
      </c>
      <c r="N60" s="588">
        <v>72</v>
      </c>
      <c r="O60" s="536" t="s">
        <v>116</v>
      </c>
      <c r="P60" s="538" t="s">
        <v>117</v>
      </c>
      <c r="Q60" s="538" t="s">
        <v>117</v>
      </c>
      <c r="R60" s="537" t="s">
        <v>108</v>
      </c>
      <c r="S60" s="536" t="s">
        <v>108</v>
      </c>
      <c r="T60" s="536" t="s">
        <v>116</v>
      </c>
      <c r="U60" s="536" t="s">
        <v>116</v>
      </c>
      <c r="V60" s="588">
        <v>60</v>
      </c>
      <c r="W60" s="536" t="s">
        <v>116</v>
      </c>
      <c r="X60" s="538" t="s">
        <v>117</v>
      </c>
      <c r="Y60" s="536" t="s">
        <v>108</v>
      </c>
      <c r="Z60" s="536" t="s">
        <v>108</v>
      </c>
      <c r="AA60" s="536" t="s">
        <v>116</v>
      </c>
      <c r="AB60" s="536" t="s">
        <v>116</v>
      </c>
      <c r="AC60" s="537" t="s">
        <v>116</v>
      </c>
      <c r="AD60" s="588">
        <v>60</v>
      </c>
      <c r="AE60" s="536" t="s">
        <v>116</v>
      </c>
      <c r="AF60" s="538" t="s">
        <v>117</v>
      </c>
      <c r="AG60" s="538" t="s">
        <v>117</v>
      </c>
      <c r="AH60" s="537" t="s">
        <v>108</v>
      </c>
      <c r="AI60" s="536" t="s">
        <v>108</v>
      </c>
      <c r="AJ60" s="536" t="s">
        <v>116</v>
      </c>
      <c r="AK60" s="536" t="s">
        <v>116</v>
      </c>
      <c r="AL60" s="539">
        <v>72</v>
      </c>
      <c r="AM60" s="524">
        <v>264</v>
      </c>
      <c r="AN60" s="541">
        <v>20</v>
      </c>
      <c r="AT60" s="132"/>
      <c r="AU60" s="132"/>
      <c r="AV60" s="132"/>
    </row>
    <row r="61" spans="2:48">
      <c r="B61" s="662"/>
      <c r="C61" s="802" t="s">
        <v>143</v>
      </c>
      <c r="D61" s="550">
        <v>6</v>
      </c>
      <c r="E61" s="195" t="s">
        <v>862</v>
      </c>
      <c r="F61" s="195" t="s">
        <v>863</v>
      </c>
      <c r="G61" s="126" t="s">
        <v>116</v>
      </c>
      <c r="H61" s="125" t="s">
        <v>117</v>
      </c>
      <c r="I61" s="178" t="s">
        <v>108</v>
      </c>
      <c r="J61" s="126" t="s">
        <v>108</v>
      </c>
      <c r="K61" s="126" t="s">
        <v>108</v>
      </c>
      <c r="L61" s="126" t="s">
        <v>108</v>
      </c>
      <c r="M61" s="126" t="s">
        <v>108</v>
      </c>
      <c r="N61" s="589">
        <v>72</v>
      </c>
      <c r="O61" s="126" t="s">
        <v>116</v>
      </c>
      <c r="P61" s="125" t="s">
        <v>117</v>
      </c>
      <c r="Q61" s="125" t="s">
        <v>117</v>
      </c>
      <c r="R61" s="178" t="s">
        <v>108</v>
      </c>
      <c r="S61" s="126" t="s">
        <v>108</v>
      </c>
      <c r="T61" s="126" t="s">
        <v>108</v>
      </c>
      <c r="U61" s="126" t="s">
        <v>108</v>
      </c>
      <c r="V61" s="588">
        <v>60</v>
      </c>
      <c r="W61" s="178" t="s">
        <v>116</v>
      </c>
      <c r="X61" s="125" t="s">
        <v>117</v>
      </c>
      <c r="Y61" s="126" t="s">
        <v>108</v>
      </c>
      <c r="Z61" s="126" t="s">
        <v>108</v>
      </c>
      <c r="AA61" s="126" t="s">
        <v>108</v>
      </c>
      <c r="AB61" s="587" t="s">
        <v>108</v>
      </c>
      <c r="AC61" s="587" t="s">
        <v>108</v>
      </c>
      <c r="AD61" s="588">
        <v>60</v>
      </c>
      <c r="AE61" s="333" t="s">
        <v>108</v>
      </c>
      <c r="AF61" s="538" t="s">
        <v>117</v>
      </c>
      <c r="AG61" s="444" t="s">
        <v>108</v>
      </c>
      <c r="AH61" s="178" t="s">
        <v>108</v>
      </c>
      <c r="AI61" s="126" t="s">
        <v>108</v>
      </c>
      <c r="AJ61" s="126" t="s">
        <v>108</v>
      </c>
      <c r="AK61" s="587" t="s">
        <v>108</v>
      </c>
      <c r="AL61" s="539">
        <v>72</v>
      </c>
      <c r="AM61" s="524">
        <v>252</v>
      </c>
      <c r="AN61" s="541">
        <v>20</v>
      </c>
      <c r="AT61" s="132"/>
      <c r="AU61" s="132"/>
      <c r="AV61" s="132"/>
    </row>
    <row r="62" spans="2:48">
      <c r="B62" s="662"/>
      <c r="C62" s="802"/>
      <c r="D62" s="550">
        <v>7</v>
      </c>
      <c r="E62" s="586" t="s">
        <v>453</v>
      </c>
      <c r="F62" s="586" t="s">
        <v>454</v>
      </c>
      <c r="G62" s="333" t="s">
        <v>116</v>
      </c>
      <c r="H62" s="333" t="s">
        <v>116</v>
      </c>
      <c r="I62" s="333" t="s">
        <v>116</v>
      </c>
      <c r="J62" s="333" t="s">
        <v>116</v>
      </c>
      <c r="K62" s="335" t="s">
        <v>117</v>
      </c>
      <c r="L62" s="333" t="s">
        <v>108</v>
      </c>
      <c r="M62" s="333" t="s">
        <v>108</v>
      </c>
      <c r="N62" s="588">
        <v>60</v>
      </c>
      <c r="O62" s="333" t="s">
        <v>108</v>
      </c>
      <c r="P62" s="333" t="s">
        <v>116</v>
      </c>
      <c r="Q62" s="333" t="s">
        <v>116</v>
      </c>
      <c r="R62" s="333" t="s">
        <v>116</v>
      </c>
      <c r="S62" s="332" t="s">
        <v>117</v>
      </c>
      <c r="T62" s="536" t="s">
        <v>108</v>
      </c>
      <c r="U62" s="536" t="s">
        <v>108</v>
      </c>
      <c r="V62" s="588">
        <v>72</v>
      </c>
      <c r="W62" s="333" t="s">
        <v>116</v>
      </c>
      <c r="X62" s="333" t="s">
        <v>116</v>
      </c>
      <c r="Y62" s="331" t="s">
        <v>117</v>
      </c>
      <c r="Z62" s="126" t="s">
        <v>108</v>
      </c>
      <c r="AA62" s="333" t="s">
        <v>108</v>
      </c>
      <c r="AB62" s="333" t="s">
        <v>108</v>
      </c>
      <c r="AC62" s="333" t="s">
        <v>116</v>
      </c>
      <c r="AD62" s="588">
        <v>72</v>
      </c>
      <c r="AE62" s="333" t="s">
        <v>116</v>
      </c>
      <c r="AF62" s="444" t="s">
        <v>116</v>
      </c>
      <c r="AG62" s="538" t="s">
        <v>117</v>
      </c>
      <c r="AH62" s="126" t="s">
        <v>108</v>
      </c>
      <c r="AI62" s="332" t="s">
        <v>117</v>
      </c>
      <c r="AJ62" s="334" t="s">
        <v>116</v>
      </c>
      <c r="AK62" s="334" t="s">
        <v>116</v>
      </c>
      <c r="AL62" s="539">
        <v>72</v>
      </c>
      <c r="AM62" s="524">
        <v>276</v>
      </c>
      <c r="AN62" s="541">
        <v>20</v>
      </c>
      <c r="AT62" s="132"/>
      <c r="AU62" s="132"/>
      <c r="AV62" s="132"/>
    </row>
    <row r="63" spans="2:48">
      <c r="B63" s="662"/>
      <c r="C63" s="802"/>
      <c r="D63" s="550">
        <v>8</v>
      </c>
      <c r="E63" s="637" t="s">
        <v>455</v>
      </c>
      <c r="F63" s="637" t="s">
        <v>456</v>
      </c>
      <c r="G63" s="126" t="s">
        <v>108</v>
      </c>
      <c r="H63" s="126" t="s">
        <v>108</v>
      </c>
      <c r="I63" s="126" t="s">
        <v>108</v>
      </c>
      <c r="J63" s="335" t="s">
        <v>117</v>
      </c>
      <c r="K63" s="126" t="s">
        <v>116</v>
      </c>
      <c r="L63" s="333" t="s">
        <v>116</v>
      </c>
      <c r="M63" s="333" t="s">
        <v>116</v>
      </c>
      <c r="N63" s="588">
        <v>72</v>
      </c>
      <c r="O63" s="125" t="s">
        <v>117</v>
      </c>
      <c r="P63" s="126" t="s">
        <v>108</v>
      </c>
      <c r="Q63" s="126" t="s">
        <v>108</v>
      </c>
      <c r="R63" s="126" t="s">
        <v>116</v>
      </c>
      <c r="S63" s="126" t="s">
        <v>116</v>
      </c>
      <c r="T63" s="125" t="s">
        <v>117</v>
      </c>
      <c r="U63" s="587" t="s">
        <v>108</v>
      </c>
      <c r="V63" s="588">
        <v>60</v>
      </c>
      <c r="W63" s="126" t="s">
        <v>108</v>
      </c>
      <c r="X63" s="126" t="s">
        <v>108</v>
      </c>
      <c r="Y63" s="126" t="s">
        <v>116</v>
      </c>
      <c r="Z63" s="125" t="s">
        <v>117</v>
      </c>
      <c r="AA63" s="125" t="s">
        <v>117</v>
      </c>
      <c r="AB63" s="126" t="s">
        <v>108</v>
      </c>
      <c r="AC63" s="126" t="s">
        <v>108</v>
      </c>
      <c r="AD63" s="588">
        <v>60</v>
      </c>
      <c r="AE63" s="125" t="s">
        <v>117</v>
      </c>
      <c r="AF63" s="126" t="s">
        <v>108</v>
      </c>
      <c r="AG63" s="126" t="s">
        <v>108</v>
      </c>
      <c r="AH63" s="126" t="s">
        <v>116</v>
      </c>
      <c r="AI63" s="126" t="s">
        <v>116</v>
      </c>
      <c r="AJ63" s="125" t="s">
        <v>117</v>
      </c>
      <c r="AK63" s="126" t="s">
        <v>108</v>
      </c>
      <c r="AL63" s="539">
        <v>60</v>
      </c>
      <c r="AM63" s="524">
        <v>252</v>
      </c>
      <c r="AN63" s="541">
        <v>20</v>
      </c>
      <c r="AT63" s="132"/>
      <c r="AU63" s="132"/>
      <c r="AV63" s="132"/>
    </row>
    <row r="64" spans="2:48">
      <c r="B64" s="340" t="s">
        <v>144</v>
      </c>
      <c r="C64" s="341" t="s">
        <v>145</v>
      </c>
      <c r="D64" s="550">
        <v>9</v>
      </c>
      <c r="E64" s="586" t="s">
        <v>457</v>
      </c>
      <c r="F64" s="586" t="s">
        <v>458</v>
      </c>
      <c r="G64" s="590" t="s">
        <v>108</v>
      </c>
      <c r="H64" s="590" t="s">
        <v>108</v>
      </c>
      <c r="I64" s="590" t="s">
        <v>108</v>
      </c>
      <c r="J64" s="590" t="s">
        <v>108</v>
      </c>
      <c r="K64" s="590" t="s">
        <v>108</v>
      </c>
      <c r="L64" s="591" t="s">
        <v>137</v>
      </c>
      <c r="M64" s="125" t="s">
        <v>117</v>
      </c>
      <c r="N64" s="539">
        <v>66</v>
      </c>
      <c r="O64" s="590" t="s">
        <v>108</v>
      </c>
      <c r="P64" s="590" t="s">
        <v>108</v>
      </c>
      <c r="Q64" s="590" t="s">
        <v>108</v>
      </c>
      <c r="R64" s="590" t="s">
        <v>108</v>
      </c>
      <c r="S64" s="590" t="s">
        <v>108</v>
      </c>
      <c r="T64" s="591" t="s">
        <v>137</v>
      </c>
      <c r="U64" s="125" t="s">
        <v>117</v>
      </c>
      <c r="V64" s="539">
        <v>66</v>
      </c>
      <c r="W64" s="590" t="s">
        <v>108</v>
      </c>
      <c r="X64" s="590" t="s">
        <v>108</v>
      </c>
      <c r="Y64" s="590" t="s">
        <v>108</v>
      </c>
      <c r="Z64" s="590" t="s">
        <v>108</v>
      </c>
      <c r="AA64" s="590" t="s">
        <v>108</v>
      </c>
      <c r="AB64" s="591" t="s">
        <v>137</v>
      </c>
      <c r="AC64" s="125" t="s">
        <v>117</v>
      </c>
      <c r="AD64" s="539">
        <v>66</v>
      </c>
      <c r="AE64" s="590" t="s">
        <v>108</v>
      </c>
      <c r="AF64" s="590" t="s">
        <v>108</v>
      </c>
      <c r="AG64" s="590" t="s">
        <v>108</v>
      </c>
      <c r="AH64" s="590" t="s">
        <v>108</v>
      </c>
      <c r="AI64" s="590" t="s">
        <v>108</v>
      </c>
      <c r="AJ64" s="591" t="s">
        <v>137</v>
      </c>
      <c r="AK64" s="125" t="s">
        <v>117</v>
      </c>
      <c r="AL64" s="539">
        <v>66</v>
      </c>
      <c r="AM64" s="524">
        <v>264</v>
      </c>
      <c r="AN64" s="541">
        <v>22</v>
      </c>
      <c r="AT64" s="132"/>
      <c r="AU64" s="132"/>
      <c r="AV64" s="132"/>
    </row>
    <row r="65" spans="4:48">
      <c r="AM65" s="353"/>
      <c r="AN65" s="353"/>
      <c r="AT65" s="132"/>
      <c r="AU65" s="132"/>
      <c r="AV65" s="132"/>
    </row>
    <row r="66" spans="4:48">
      <c r="D66" s="218" t="s">
        <v>132</v>
      </c>
      <c r="E66" s="218" t="s">
        <v>133</v>
      </c>
      <c r="F66" s="218" t="s">
        <v>101</v>
      </c>
      <c r="AM66" s="353"/>
      <c r="AN66" s="353"/>
      <c r="AT66" s="132"/>
      <c r="AU66" s="132"/>
      <c r="AV66" s="132"/>
    </row>
    <row r="67" spans="4:48">
      <c r="D67" s="319" t="s">
        <v>108</v>
      </c>
      <c r="E67" s="319" t="s">
        <v>146</v>
      </c>
      <c r="F67" s="319" t="s">
        <v>45</v>
      </c>
      <c r="AM67" s="353"/>
      <c r="AN67" s="353"/>
      <c r="AT67" s="132"/>
      <c r="AU67" s="132"/>
      <c r="AV67" s="132"/>
    </row>
    <row r="68" spans="4:48">
      <c r="D68" s="602" t="s">
        <v>108</v>
      </c>
      <c r="E68" s="319" t="s">
        <v>146</v>
      </c>
      <c r="F68" s="633" t="s">
        <v>883</v>
      </c>
      <c r="AM68" s="353"/>
      <c r="AN68" s="353"/>
      <c r="AT68" s="132"/>
      <c r="AU68" s="132"/>
      <c r="AV68" s="132"/>
    </row>
    <row r="69" spans="4:48">
      <c r="D69" s="603" t="s">
        <v>108</v>
      </c>
      <c r="E69" s="319" t="s">
        <v>146</v>
      </c>
      <c r="F69" s="633" t="s">
        <v>882</v>
      </c>
      <c r="AM69" s="353"/>
      <c r="AN69" s="353"/>
      <c r="AT69" s="132"/>
      <c r="AU69" s="132"/>
      <c r="AV69" s="132"/>
    </row>
    <row r="70" spans="4:48">
      <c r="D70" s="319" t="s">
        <v>116</v>
      </c>
      <c r="E70" s="319" t="s">
        <v>147</v>
      </c>
      <c r="F70" s="319" t="s">
        <v>45</v>
      </c>
      <c r="AT70" s="132"/>
      <c r="AU70" s="132"/>
      <c r="AV70" s="132"/>
    </row>
    <row r="71" spans="4:48">
      <c r="D71" s="602" t="s">
        <v>116</v>
      </c>
      <c r="E71" s="319" t="s">
        <v>147</v>
      </c>
      <c r="F71" s="633" t="s">
        <v>883</v>
      </c>
      <c r="AT71" s="132"/>
      <c r="AU71" s="132"/>
      <c r="AV71" s="132"/>
    </row>
    <row r="72" spans="4:48">
      <c r="D72" s="319" t="s">
        <v>117</v>
      </c>
      <c r="E72" s="319" t="s">
        <v>119</v>
      </c>
      <c r="F72" s="322" t="s">
        <v>45</v>
      </c>
      <c r="AT72" s="132"/>
      <c r="AU72" s="132"/>
      <c r="AV72" s="132"/>
    </row>
    <row r="73" spans="4:48">
      <c r="D73" s="322" t="s">
        <v>137</v>
      </c>
      <c r="E73" s="319" t="s">
        <v>381</v>
      </c>
      <c r="F73" s="322" t="s">
        <v>45</v>
      </c>
      <c r="AT73" s="132"/>
      <c r="AU73" s="132"/>
      <c r="AV73" s="132"/>
    </row>
    <row r="74" spans="4:48">
      <c r="AT74" s="132"/>
      <c r="AU74" s="132"/>
      <c r="AV74" s="132"/>
    </row>
    <row r="75" spans="4:48">
      <c r="AT75" s="132"/>
      <c r="AU75" s="132"/>
      <c r="AV75" s="132"/>
    </row>
    <row r="76" spans="4:48">
      <c r="AT76" s="132"/>
      <c r="AU76" s="132"/>
      <c r="AV76" s="132"/>
    </row>
    <row r="77" spans="4:48">
      <c r="AT77" s="132"/>
      <c r="AU77" s="132"/>
      <c r="AV77" s="132"/>
    </row>
    <row r="78" spans="4:48">
      <c r="AT78" s="132"/>
      <c r="AU78" s="132"/>
      <c r="AV78" s="132"/>
    </row>
    <row r="79" spans="4:48">
      <c r="AT79" s="132"/>
      <c r="AU79" s="132"/>
      <c r="AV79" s="132"/>
    </row>
    <row r="80" spans="4:48">
      <c r="AT80" s="132"/>
      <c r="AU80" s="132"/>
      <c r="AV80" s="132"/>
    </row>
    <row r="81" spans="46:48">
      <c r="AT81" s="132"/>
      <c r="AU81" s="132"/>
      <c r="AV81" s="132"/>
    </row>
    <row r="82" spans="46:48">
      <c r="AT82" s="132"/>
      <c r="AU82" s="132"/>
      <c r="AV82" s="132"/>
    </row>
    <row r="83" spans="46:48">
      <c r="AT83" s="132"/>
      <c r="AU83" s="132"/>
      <c r="AV83" s="132"/>
    </row>
    <row r="84" spans="46:48">
      <c r="AT84" s="132"/>
      <c r="AU84" s="132"/>
      <c r="AV84" s="132"/>
    </row>
    <row r="85" spans="46:48">
      <c r="AT85" s="132"/>
      <c r="AU85" s="132"/>
      <c r="AV85" s="132"/>
    </row>
    <row r="86" spans="46:48">
      <c r="AT86" s="132"/>
      <c r="AU86" s="132"/>
      <c r="AV86" s="132"/>
    </row>
    <row r="87" spans="46:48">
      <c r="AT87" s="132"/>
      <c r="AU87" s="132"/>
      <c r="AV87" s="132"/>
    </row>
    <row r="88" spans="46:48">
      <c r="AT88" s="132"/>
      <c r="AU88" s="132"/>
      <c r="AV88" s="132"/>
    </row>
    <row r="89" spans="46:48">
      <c r="AT89" s="132"/>
      <c r="AU89" s="132"/>
      <c r="AV89" s="132"/>
    </row>
    <row r="90" spans="46:48">
      <c r="AT90" s="132"/>
      <c r="AU90" s="132"/>
      <c r="AV90" s="132"/>
    </row>
    <row r="91" spans="46:48">
      <c r="AT91" s="132"/>
      <c r="AU91" s="132"/>
      <c r="AV91" s="132"/>
    </row>
    <row r="92" spans="46:48">
      <c r="AT92" s="132"/>
      <c r="AU92" s="132"/>
      <c r="AV92" s="132"/>
    </row>
    <row r="93" spans="46:48">
      <c r="AT93" s="132"/>
      <c r="AU93" s="132"/>
      <c r="AV93" s="132"/>
    </row>
    <row r="94" spans="46:48">
      <c r="AT94" s="132"/>
      <c r="AU94" s="132"/>
      <c r="AV94" s="132"/>
    </row>
    <row r="95" spans="46:48">
      <c r="AT95" s="132"/>
      <c r="AU95" s="132"/>
      <c r="AV95" s="132"/>
    </row>
    <row r="96" spans="46:48">
      <c r="AT96" s="132"/>
      <c r="AU96" s="132"/>
      <c r="AV96" s="132"/>
    </row>
    <row r="97" spans="46:48">
      <c r="AT97" s="132"/>
      <c r="AU97" s="132"/>
      <c r="AV97" s="132"/>
    </row>
    <row r="98" spans="46:48">
      <c r="AT98" s="132"/>
      <c r="AU98" s="132"/>
      <c r="AV98" s="132"/>
    </row>
    <row r="99" spans="46:48">
      <c r="AT99" s="132"/>
      <c r="AU99" s="132"/>
      <c r="AV99" s="132"/>
    </row>
    <row r="100" spans="46:48">
      <c r="AT100" s="132"/>
      <c r="AU100" s="132"/>
      <c r="AV100" s="132"/>
    </row>
    <row r="101" spans="46:48">
      <c r="AT101" s="132"/>
      <c r="AU101" s="132"/>
      <c r="AV101" s="132"/>
    </row>
    <row r="102" spans="46:48">
      <c r="AT102" s="132"/>
      <c r="AU102" s="132"/>
      <c r="AV102" s="132"/>
    </row>
    <row r="103" spans="46:48">
      <c r="AT103" s="132"/>
      <c r="AU103" s="132"/>
      <c r="AV103" s="132"/>
    </row>
    <row r="104" spans="46:48">
      <c r="AT104" s="132"/>
      <c r="AU104" s="132"/>
      <c r="AV104" s="132"/>
    </row>
    <row r="105" spans="46:48">
      <c r="AT105" s="132"/>
      <c r="AU105" s="132"/>
      <c r="AV105" s="132"/>
    </row>
    <row r="106" spans="46:48">
      <c r="AT106" s="132"/>
      <c r="AU106" s="132"/>
      <c r="AV106" s="132"/>
    </row>
    <row r="107" spans="46:48">
      <c r="AT107" s="132"/>
      <c r="AU107" s="132"/>
      <c r="AV107" s="132"/>
    </row>
    <row r="108" spans="46:48">
      <c r="AT108" s="132"/>
      <c r="AU108" s="132"/>
      <c r="AV108" s="132"/>
    </row>
    <row r="109" spans="46:48">
      <c r="AT109" s="132"/>
      <c r="AU109" s="132"/>
      <c r="AV109" s="132"/>
    </row>
    <row r="110" spans="46:48">
      <c r="AT110" s="132"/>
      <c r="AU110" s="132"/>
      <c r="AV110" s="132"/>
    </row>
    <row r="111" spans="46:48">
      <c r="AT111" s="132"/>
      <c r="AU111" s="132"/>
      <c r="AV111" s="132"/>
    </row>
    <row r="112" spans="46:48">
      <c r="AT112" s="132"/>
      <c r="AU112" s="132"/>
      <c r="AV112" s="132"/>
    </row>
    <row r="113" spans="46:48">
      <c r="AT113" s="132"/>
      <c r="AU113" s="132"/>
      <c r="AV113" s="132"/>
    </row>
  </sheetData>
  <mergeCells count="131">
    <mergeCell ref="B5:AV6"/>
    <mergeCell ref="B27:B29"/>
    <mergeCell ref="C27:C29"/>
    <mergeCell ref="B2:D4"/>
    <mergeCell ref="E2:P4"/>
    <mergeCell ref="Q2:U2"/>
    <mergeCell ref="X2:AI4"/>
    <mergeCell ref="Q3:U3"/>
    <mergeCell ref="Q4:U4"/>
    <mergeCell ref="B11:B23"/>
    <mergeCell ref="C19:C20"/>
    <mergeCell ref="C21:C23"/>
    <mergeCell ref="C11:C12"/>
    <mergeCell ref="C13:C15"/>
    <mergeCell ref="C16:C18"/>
    <mergeCell ref="B8:B10"/>
    <mergeCell ref="C8:C10"/>
    <mergeCell ref="AG28:AG29"/>
    <mergeCell ref="T28:T29"/>
    <mergeCell ref="U28:U29"/>
    <mergeCell ref="W28:W29"/>
    <mergeCell ref="X28:X29"/>
    <mergeCell ref="Y28:Y29"/>
    <mergeCell ref="Z28:Z29"/>
    <mergeCell ref="B56:B63"/>
    <mergeCell ref="C61:C63"/>
    <mergeCell ref="C56:C60"/>
    <mergeCell ref="B30:B44"/>
    <mergeCell ref="B53:B55"/>
    <mergeCell ref="C53:C55"/>
    <mergeCell ref="C38:C39"/>
    <mergeCell ref="C40:C42"/>
    <mergeCell ref="C43:C44"/>
    <mergeCell ref="C30:C32"/>
    <mergeCell ref="C33:C34"/>
    <mergeCell ref="C35:C37"/>
    <mergeCell ref="AM27:AM29"/>
    <mergeCell ref="AN27:AN29"/>
    <mergeCell ref="G28:G29"/>
    <mergeCell ref="H28:H29"/>
    <mergeCell ref="I28:I29"/>
    <mergeCell ref="J28:J29"/>
    <mergeCell ref="K28:K29"/>
    <mergeCell ref="L28:L29"/>
    <mergeCell ref="M28:M29"/>
    <mergeCell ref="O28:O29"/>
    <mergeCell ref="N27:N29"/>
    <mergeCell ref="V27:V29"/>
    <mergeCell ref="AD27:AD29"/>
    <mergeCell ref="AL27:AL29"/>
    <mergeCell ref="P28:P29"/>
    <mergeCell ref="Q28:Q29"/>
    <mergeCell ref="R28:R29"/>
    <mergeCell ref="S28:S29"/>
    <mergeCell ref="AH28:AH29"/>
    <mergeCell ref="AI28:AI29"/>
    <mergeCell ref="AJ28:AJ29"/>
    <mergeCell ref="AK28:AK29"/>
    <mergeCell ref="AE28:AE29"/>
    <mergeCell ref="AF28:AF29"/>
    <mergeCell ref="X9:X10"/>
    <mergeCell ref="Y9:Y10"/>
    <mergeCell ref="Z9:Z10"/>
    <mergeCell ref="AA9:AA10"/>
    <mergeCell ref="O9:O10"/>
    <mergeCell ref="P9:P10"/>
    <mergeCell ref="AG9:AG10"/>
    <mergeCell ref="AH9:AH10"/>
    <mergeCell ref="U9:U10"/>
    <mergeCell ref="W9:W10"/>
    <mergeCell ref="AA28:AA29"/>
    <mergeCell ref="AB28:AB29"/>
    <mergeCell ref="AC28:AC29"/>
    <mergeCell ref="N8:N10"/>
    <mergeCell ref="V8:V10"/>
    <mergeCell ref="AD8:AD10"/>
    <mergeCell ref="Q9:Q10"/>
    <mergeCell ref="AL8:AL10"/>
    <mergeCell ref="AM8:AM10"/>
    <mergeCell ref="AN8:AN10"/>
    <mergeCell ref="G9:G10"/>
    <mergeCell ref="R9:R10"/>
    <mergeCell ref="S9:S10"/>
    <mergeCell ref="T9:T10"/>
    <mergeCell ref="H9:H10"/>
    <mergeCell ref="I9:I10"/>
    <mergeCell ref="J9:J10"/>
    <mergeCell ref="K9:K10"/>
    <mergeCell ref="L9:L10"/>
    <mergeCell ref="M9:M10"/>
    <mergeCell ref="AI9:AI10"/>
    <mergeCell ref="AJ9:AJ10"/>
    <mergeCell ref="AK9:AK10"/>
    <mergeCell ref="AB9:AB10"/>
    <mergeCell ref="AC9:AC10"/>
    <mergeCell ref="AE9:AE10"/>
    <mergeCell ref="AF9:AF10"/>
    <mergeCell ref="G54:G55"/>
    <mergeCell ref="H54:H55"/>
    <mergeCell ref="I54:I55"/>
    <mergeCell ref="AM53:AM55"/>
    <mergeCell ref="AN53:AN55"/>
    <mergeCell ref="AH54:AH55"/>
    <mergeCell ref="AI54:AI55"/>
    <mergeCell ref="AJ54:AJ55"/>
    <mergeCell ref="AK54:AK55"/>
    <mergeCell ref="J54:J55"/>
    <mergeCell ref="K54:K55"/>
    <mergeCell ref="V53:V55"/>
    <mergeCell ref="AD53:AD55"/>
    <mergeCell ref="AL53:AL55"/>
    <mergeCell ref="P54:P55"/>
    <mergeCell ref="Q54:Q55"/>
    <mergeCell ref="R54:R55"/>
    <mergeCell ref="S54:S55"/>
    <mergeCell ref="X54:X55"/>
    <mergeCell ref="Y54:Y55"/>
    <mergeCell ref="Z54:Z55"/>
    <mergeCell ref="AC54:AC55"/>
    <mergeCell ref="AE54:AE55"/>
    <mergeCell ref="AF54:AF55"/>
    <mergeCell ref="AG54:AG55"/>
    <mergeCell ref="AA54:AA55"/>
    <mergeCell ref="AB54:AB55"/>
    <mergeCell ref="T54:T55"/>
    <mergeCell ref="U54:U55"/>
    <mergeCell ref="W54:W55"/>
    <mergeCell ref="L54:L55"/>
    <mergeCell ref="M54:M55"/>
    <mergeCell ref="O54:O55"/>
    <mergeCell ref="N53:N55"/>
  </mergeCells>
  <phoneticPr fontId="36" type="noConversion"/>
  <conditionalFormatting sqref="G12">
    <cfRule type="containsText" dxfId="42" priority="18" operator="containsText" text="X">
      <formula>NOT(ISERROR(SEARCH("X",G12)))</formula>
    </cfRule>
  </conditionalFormatting>
  <conditionalFormatting sqref="G17">
    <cfRule type="containsText" dxfId="41" priority="17" operator="containsText" text="X">
      <formula>NOT(ISERROR(SEARCH("X",G17)))</formula>
    </cfRule>
  </conditionalFormatting>
  <conditionalFormatting sqref="G24">
    <cfRule type="containsText" dxfId="40" priority="16" operator="containsText" text="X">
      <formula>NOT(ISERROR(SEARCH("X",G24)))</formula>
    </cfRule>
  </conditionalFormatting>
  <conditionalFormatting sqref="G31">
    <cfRule type="containsText" dxfId="39" priority="11" operator="containsText" text="X">
      <formula>NOT(ISERROR(SEARCH("X",G31)))</formula>
    </cfRule>
  </conditionalFormatting>
  <conditionalFormatting sqref="G36">
    <cfRule type="containsText" dxfId="38" priority="10" operator="containsText" text="X">
      <formula>NOT(ISERROR(SEARCH("X",G36)))</formula>
    </cfRule>
  </conditionalFormatting>
  <conditionalFormatting sqref="G41">
    <cfRule type="containsText" dxfId="37" priority="9" operator="containsText" text="X">
      <formula>NOT(ISERROR(SEARCH("X",G41)))</formula>
    </cfRule>
  </conditionalFormatting>
  <conditionalFormatting sqref="G45">
    <cfRule type="containsText" dxfId="36" priority="8" operator="containsText" text="X">
      <formula>NOT(ISERROR(SEARCH("X",G45)))</formula>
    </cfRule>
  </conditionalFormatting>
  <conditionalFormatting sqref="G57">
    <cfRule type="containsText" dxfId="35" priority="30" operator="containsText" text="X">
      <formula>NOT(ISERROR(SEARCH("X",G57)))</formula>
    </cfRule>
  </conditionalFormatting>
  <conditionalFormatting sqref="G79">
    <cfRule type="containsText" dxfId="34" priority="3" operator="containsText" text="X">
      <formula>NOT(ISERROR(SEARCH("X",G79)))</formula>
    </cfRule>
  </conditionalFormatting>
  <conditionalFormatting sqref="G84">
    <cfRule type="containsText" dxfId="33" priority="2" operator="containsText" text="X">
      <formula>NOT(ISERROR(SEARCH("X",G84)))</formula>
    </cfRule>
  </conditionalFormatting>
  <conditionalFormatting sqref="G91">
    <cfRule type="containsText" dxfId="32" priority="1" operator="containsText" text="X">
      <formula>NOT(ISERROR(SEARCH("X",G91)))</formula>
    </cfRule>
  </conditionalFormatting>
  <conditionalFormatting sqref="AE24:AE25">
    <cfRule type="containsText" dxfId="31" priority="15" operator="containsText" text="X">
      <formula>NOT(ISERROR(SEARCH("X",AE24)))</formula>
    </cfRule>
  </conditionalFormatting>
  <conditionalFormatting sqref="AE31">
    <cfRule type="containsText" dxfId="30" priority="7" operator="containsText" text="X">
      <formula>NOT(ISERROR(SEARCH("X",AE31)))</formula>
    </cfRule>
  </conditionalFormatting>
  <conditionalFormatting sqref="AE36">
    <cfRule type="containsText" dxfId="29" priority="6" operator="containsText" text="X">
      <formula>NOT(ISERROR(SEARCH("X",AE36)))</formula>
    </cfRule>
  </conditionalFormatting>
  <conditionalFormatting sqref="AE41:AE42">
    <cfRule type="containsText" dxfId="28" priority="4" operator="containsText" text="X">
      <formula>NOT(ISERROR(SEARCH("X",AE41)))</formula>
    </cfRule>
  </conditionalFormatting>
  <conditionalFormatting sqref="AE45:AE46">
    <cfRule type="containsText" dxfId="27" priority="5" operator="containsText" text="X">
      <formula>NOT(ISERROR(SEARCH("X",AE45)))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AW78"/>
  <sheetViews>
    <sheetView zoomScale="80" zoomScaleNormal="80" workbookViewId="0">
      <pane ySplit="6" topLeftCell="A7" activePane="bottomLeft" state="frozen"/>
      <selection pane="bottomLeft" activeCell="AM17" sqref="AM17"/>
    </sheetView>
  </sheetViews>
  <sheetFormatPr baseColWidth="10" defaultColWidth="11" defaultRowHeight="15"/>
  <cols>
    <col min="1" max="1" width="3.140625" style="132" customWidth="1"/>
    <col min="2" max="2" width="10.5703125" style="132" customWidth="1"/>
    <col min="3" max="3" width="9.42578125" style="132" customWidth="1"/>
    <col min="4" max="4" width="11.7109375" style="132" customWidth="1"/>
    <col min="5" max="5" width="24.5703125" style="132" bestFit="1" customWidth="1"/>
    <col min="6" max="6" width="22.28515625" style="132" bestFit="1" customWidth="1"/>
    <col min="7" max="48" width="3.28515625" style="353" customWidth="1"/>
    <col min="49" max="16384" width="11" style="132"/>
  </cols>
  <sheetData>
    <row r="1" spans="2:49" ht="15.75" thickBot="1"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T1" s="132"/>
      <c r="U1" s="132"/>
      <c r="V1" s="132"/>
      <c r="W1" s="132"/>
      <c r="X1" s="132"/>
      <c r="Y1" s="132"/>
      <c r="Z1" s="132"/>
      <c r="AB1" s="132"/>
      <c r="AC1" s="132"/>
      <c r="AD1" s="132"/>
      <c r="AE1" s="132"/>
      <c r="AF1" s="132"/>
      <c r="AG1" s="132"/>
      <c r="AH1" s="132"/>
      <c r="AJ1" s="132"/>
      <c r="AK1" s="132"/>
      <c r="AL1" s="132"/>
      <c r="AM1" s="132"/>
      <c r="AN1" s="132"/>
      <c r="AO1" s="132"/>
      <c r="AP1" s="132"/>
      <c r="AR1" s="132"/>
      <c r="AS1" s="132"/>
      <c r="AT1" s="132"/>
      <c r="AU1" s="132"/>
      <c r="AV1" s="132"/>
      <c r="AW1" s="353"/>
    </row>
    <row r="2" spans="2:49" ht="15" customHeight="1" thickBot="1">
      <c r="B2" s="664"/>
      <c r="C2" s="665"/>
      <c r="D2" s="666"/>
      <c r="E2" s="667" t="s">
        <v>97</v>
      </c>
      <c r="F2" s="668"/>
      <c r="G2" s="655" t="s">
        <v>98</v>
      </c>
      <c r="H2" s="656"/>
      <c r="I2" s="656"/>
      <c r="J2" s="656"/>
      <c r="K2" s="656"/>
      <c r="L2" s="656"/>
      <c r="M2" s="657"/>
      <c r="N2" s="646" t="e" vm="3">
        <v>#VALUE!</v>
      </c>
      <c r="O2" s="647"/>
      <c r="P2" s="647"/>
      <c r="Q2" s="647"/>
      <c r="R2" s="647"/>
      <c r="S2" s="647"/>
      <c r="T2" s="647"/>
      <c r="U2" s="647"/>
      <c r="V2" s="647"/>
      <c r="W2" s="647"/>
      <c r="X2" s="647"/>
      <c r="Y2" s="648"/>
      <c r="Z2" s="132"/>
      <c r="AA2" s="132"/>
      <c r="AC2" s="132"/>
      <c r="AD2" s="132"/>
      <c r="AE2" s="132"/>
      <c r="AF2" s="132"/>
      <c r="AG2" s="132"/>
      <c r="AH2" s="132"/>
      <c r="AI2" s="132"/>
      <c r="AK2" s="132"/>
      <c r="AL2" s="132"/>
      <c r="AM2" s="132"/>
      <c r="AN2" s="132"/>
      <c r="AO2" s="132"/>
      <c r="AP2" s="132"/>
      <c r="AQ2" s="132"/>
      <c r="AR2" s="132"/>
      <c r="AS2" s="132"/>
      <c r="AT2" s="132"/>
      <c r="AU2" s="132"/>
      <c r="AV2" s="132"/>
    </row>
    <row r="3" spans="2:49" ht="15" customHeight="1" thickBot="1">
      <c r="B3" s="649"/>
      <c r="C3" s="650"/>
      <c r="D3" s="651"/>
      <c r="E3" s="669"/>
      <c r="F3" s="670"/>
      <c r="G3" s="655" t="s">
        <v>99</v>
      </c>
      <c r="H3" s="656"/>
      <c r="I3" s="656"/>
      <c r="J3" s="656"/>
      <c r="K3" s="656"/>
      <c r="L3" s="656"/>
      <c r="M3" s="657"/>
      <c r="N3" s="649"/>
      <c r="O3" s="650"/>
      <c r="P3" s="650"/>
      <c r="Q3" s="650"/>
      <c r="R3" s="650"/>
      <c r="S3" s="650"/>
      <c r="T3" s="650"/>
      <c r="U3" s="650"/>
      <c r="V3" s="650"/>
      <c r="W3" s="650"/>
      <c r="X3" s="650"/>
      <c r="Y3" s="651"/>
      <c r="Z3" s="132"/>
      <c r="AA3" s="132"/>
      <c r="AC3" s="132"/>
      <c r="AD3" s="132"/>
      <c r="AE3" s="132"/>
      <c r="AF3" s="132"/>
      <c r="AG3" s="132"/>
      <c r="AH3" s="132"/>
      <c r="AI3" s="132"/>
      <c r="AK3" s="132"/>
      <c r="AL3" s="132"/>
      <c r="AM3" s="132"/>
      <c r="AN3" s="132"/>
      <c r="AO3" s="132"/>
      <c r="AP3" s="132"/>
      <c r="AQ3" s="132"/>
      <c r="AR3" s="132"/>
      <c r="AS3" s="132"/>
      <c r="AT3" s="132"/>
      <c r="AU3" s="132"/>
      <c r="AV3" s="132"/>
    </row>
    <row r="4" spans="2:49" ht="15.75" customHeight="1" thickBot="1">
      <c r="B4" s="649"/>
      <c r="C4" s="650"/>
      <c r="D4" s="651"/>
      <c r="E4" s="669"/>
      <c r="F4" s="670"/>
      <c r="G4" s="655" t="s">
        <v>100</v>
      </c>
      <c r="H4" s="656"/>
      <c r="I4" s="656"/>
      <c r="J4" s="656"/>
      <c r="K4" s="656"/>
      <c r="L4" s="656"/>
      <c r="M4" s="657"/>
      <c r="N4" s="652"/>
      <c r="O4" s="653"/>
      <c r="P4" s="653"/>
      <c r="Q4" s="653"/>
      <c r="R4" s="653"/>
      <c r="S4" s="653"/>
      <c r="T4" s="653"/>
      <c r="U4" s="653"/>
      <c r="V4" s="653"/>
      <c r="W4" s="653"/>
      <c r="X4" s="653"/>
      <c r="Y4" s="654"/>
      <c r="Z4" s="132"/>
      <c r="AA4" s="132"/>
      <c r="AC4" s="132"/>
      <c r="AD4" s="132"/>
      <c r="AE4" s="132"/>
      <c r="AF4" s="132"/>
      <c r="AG4" s="132"/>
      <c r="AH4" s="132"/>
      <c r="AI4" s="132"/>
      <c r="AK4" s="132"/>
      <c r="AL4" s="132"/>
      <c r="AM4" s="132"/>
      <c r="AN4" s="132"/>
      <c r="AO4" s="132"/>
      <c r="AP4" s="132"/>
      <c r="AQ4" s="132"/>
      <c r="AR4" s="132"/>
      <c r="AS4" s="132"/>
      <c r="AT4" s="132"/>
      <c r="AU4" s="132"/>
      <c r="AV4" s="132"/>
    </row>
    <row r="5" spans="2:49" ht="15" customHeight="1">
      <c r="B5" s="658" t="s">
        <v>844</v>
      </c>
      <c r="C5" s="659"/>
      <c r="D5" s="659"/>
      <c r="E5" s="659"/>
      <c r="F5" s="659"/>
      <c r="G5" s="659"/>
      <c r="H5" s="659"/>
      <c r="I5" s="659"/>
      <c r="J5" s="659"/>
      <c r="K5" s="659"/>
      <c r="L5" s="659"/>
      <c r="M5" s="659"/>
      <c r="N5" s="659"/>
      <c r="O5" s="659"/>
      <c r="P5" s="659"/>
      <c r="Q5" s="659"/>
      <c r="R5" s="659"/>
      <c r="S5" s="659"/>
      <c r="T5" s="659"/>
      <c r="U5" s="659"/>
      <c r="V5" s="659"/>
      <c r="W5" s="659"/>
      <c r="X5" s="659"/>
      <c r="Y5" s="659"/>
      <c r="Z5" s="659"/>
      <c r="AA5" s="659"/>
      <c r="AB5" s="659"/>
      <c r="AC5" s="659"/>
      <c r="AD5" s="659"/>
      <c r="AE5" s="659"/>
      <c r="AF5" s="659"/>
      <c r="AG5" s="659"/>
      <c r="AH5" s="659"/>
      <c r="AI5" s="659"/>
      <c r="AJ5" s="659"/>
      <c r="AK5" s="659"/>
      <c r="AL5" s="659"/>
      <c r="AM5" s="659"/>
      <c r="AN5" s="659"/>
      <c r="AO5" s="659"/>
      <c r="AP5" s="659"/>
      <c r="AQ5" s="659"/>
      <c r="AR5" s="659"/>
      <c r="AS5" s="659"/>
      <c r="AT5" s="659"/>
      <c r="AU5" s="659"/>
      <c r="AV5" s="659"/>
      <c r="AW5" s="220"/>
    </row>
    <row r="6" spans="2:49" ht="15" customHeight="1" thickBot="1">
      <c r="B6" s="660"/>
      <c r="C6" s="661"/>
      <c r="D6" s="661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  <c r="P6" s="661"/>
      <c r="Q6" s="661"/>
      <c r="R6" s="661"/>
      <c r="S6" s="661"/>
      <c r="T6" s="661"/>
      <c r="U6" s="661"/>
      <c r="V6" s="661"/>
      <c r="W6" s="661"/>
      <c r="X6" s="661"/>
      <c r="Y6" s="661"/>
      <c r="Z6" s="661"/>
      <c r="AA6" s="661"/>
      <c r="AB6" s="661"/>
      <c r="AC6" s="661"/>
      <c r="AD6" s="661"/>
      <c r="AE6" s="661"/>
      <c r="AF6" s="661"/>
      <c r="AG6" s="661"/>
      <c r="AH6" s="661"/>
      <c r="AI6" s="661"/>
      <c r="AJ6" s="661"/>
      <c r="AK6" s="661"/>
      <c r="AL6" s="661"/>
      <c r="AM6" s="661"/>
      <c r="AN6" s="661"/>
      <c r="AO6" s="661"/>
      <c r="AP6" s="661"/>
      <c r="AQ6" s="661"/>
      <c r="AR6" s="661"/>
      <c r="AS6" s="661"/>
      <c r="AT6" s="661"/>
      <c r="AU6" s="661"/>
      <c r="AV6" s="661"/>
      <c r="AW6" s="220"/>
    </row>
    <row r="7" spans="2:49" ht="18.75">
      <c r="D7" s="220"/>
      <c r="E7" s="220"/>
      <c r="F7" s="220"/>
      <c r="AL7" s="220"/>
      <c r="AO7" s="132"/>
      <c r="AP7" s="132"/>
      <c r="AQ7" s="132"/>
      <c r="AR7" s="132"/>
      <c r="AS7" s="132"/>
      <c r="AT7" s="132"/>
      <c r="AU7" s="132"/>
      <c r="AV7" s="132"/>
    </row>
    <row r="8" spans="2:49" ht="15.75" customHeight="1">
      <c r="B8" s="676" t="s">
        <v>126</v>
      </c>
      <c r="C8" s="676" t="s">
        <v>127</v>
      </c>
      <c r="D8" s="196" t="s">
        <v>101</v>
      </c>
      <c r="E8" s="528" t="s">
        <v>150</v>
      </c>
      <c r="F8" s="528" t="s">
        <v>102</v>
      </c>
      <c r="G8" s="529" t="s">
        <v>103</v>
      </c>
      <c r="H8" s="529" t="s">
        <v>104</v>
      </c>
      <c r="I8" s="529" t="s">
        <v>104</v>
      </c>
      <c r="J8" s="529" t="s">
        <v>105</v>
      </c>
      <c r="K8" s="529" t="s">
        <v>106</v>
      </c>
      <c r="L8" s="529" t="s">
        <v>107</v>
      </c>
      <c r="M8" s="529" t="s">
        <v>108</v>
      </c>
      <c r="N8" s="642" t="s">
        <v>109</v>
      </c>
      <c r="O8" s="530" t="s">
        <v>103</v>
      </c>
      <c r="P8" s="530" t="s">
        <v>104</v>
      </c>
      <c r="Q8" s="530" t="s">
        <v>104</v>
      </c>
      <c r="R8" s="530" t="s">
        <v>105</v>
      </c>
      <c r="S8" s="530" t="s">
        <v>106</v>
      </c>
      <c r="T8" s="530" t="s">
        <v>107</v>
      </c>
      <c r="U8" s="530" t="s">
        <v>108</v>
      </c>
      <c r="V8" s="642" t="s">
        <v>109</v>
      </c>
      <c r="W8" s="531" t="s">
        <v>103</v>
      </c>
      <c r="X8" s="531" t="s">
        <v>104</v>
      </c>
      <c r="Y8" s="531" t="s">
        <v>104</v>
      </c>
      <c r="Z8" s="531" t="s">
        <v>105</v>
      </c>
      <c r="AA8" s="531" t="s">
        <v>106</v>
      </c>
      <c r="AB8" s="531" t="s">
        <v>107</v>
      </c>
      <c r="AC8" s="531" t="s">
        <v>108</v>
      </c>
      <c r="AD8" s="642" t="s">
        <v>109</v>
      </c>
      <c r="AE8" s="532" t="s">
        <v>103</v>
      </c>
      <c r="AF8" s="532" t="s">
        <v>104</v>
      </c>
      <c r="AG8" s="532" t="s">
        <v>104</v>
      </c>
      <c r="AH8" s="533" t="s">
        <v>105</v>
      </c>
      <c r="AI8" s="533" t="s">
        <v>106</v>
      </c>
      <c r="AJ8" s="533" t="s">
        <v>107</v>
      </c>
      <c r="AK8" s="533" t="s">
        <v>108</v>
      </c>
      <c r="AL8" s="642" t="s">
        <v>109</v>
      </c>
      <c r="AM8" s="642" t="s">
        <v>110</v>
      </c>
      <c r="AN8" s="642" t="s">
        <v>111</v>
      </c>
      <c r="AO8" s="132"/>
      <c r="AP8" s="132"/>
      <c r="AQ8" s="132"/>
      <c r="AR8" s="132"/>
      <c r="AS8" s="132"/>
      <c r="AT8" s="132"/>
      <c r="AU8" s="132"/>
      <c r="AV8" s="132"/>
    </row>
    <row r="9" spans="2:49">
      <c r="B9" s="676"/>
      <c r="C9" s="676"/>
      <c r="D9" s="196" t="s">
        <v>112</v>
      </c>
      <c r="E9" s="528" t="s">
        <v>845</v>
      </c>
      <c r="F9" s="528" t="s">
        <v>113</v>
      </c>
      <c r="G9" s="643">
        <v>7</v>
      </c>
      <c r="H9" s="643">
        <v>8</v>
      </c>
      <c r="I9" s="643">
        <v>9</v>
      </c>
      <c r="J9" s="643">
        <v>10</v>
      </c>
      <c r="K9" s="643">
        <v>11</v>
      </c>
      <c r="L9" s="643">
        <v>12</v>
      </c>
      <c r="M9" s="643">
        <v>13</v>
      </c>
      <c r="N9" s="642"/>
      <c r="O9" s="643">
        <v>14</v>
      </c>
      <c r="P9" s="643">
        <v>15</v>
      </c>
      <c r="Q9" s="643">
        <v>16</v>
      </c>
      <c r="R9" s="643">
        <v>17</v>
      </c>
      <c r="S9" s="643">
        <v>18</v>
      </c>
      <c r="T9" s="643">
        <v>19</v>
      </c>
      <c r="U9" s="643">
        <v>20</v>
      </c>
      <c r="V9" s="642"/>
      <c r="W9" s="643">
        <v>21</v>
      </c>
      <c r="X9" s="643">
        <v>22</v>
      </c>
      <c r="Y9" s="643">
        <v>23</v>
      </c>
      <c r="Z9" s="643">
        <v>24</v>
      </c>
      <c r="AA9" s="643">
        <v>25</v>
      </c>
      <c r="AB9" s="643">
        <v>26</v>
      </c>
      <c r="AC9" s="643">
        <v>27</v>
      </c>
      <c r="AD9" s="642"/>
      <c r="AE9" s="643">
        <v>28</v>
      </c>
      <c r="AF9" s="643">
        <v>29</v>
      </c>
      <c r="AG9" s="643">
        <v>30</v>
      </c>
      <c r="AH9" s="643">
        <v>1</v>
      </c>
      <c r="AI9" s="643">
        <v>2</v>
      </c>
      <c r="AJ9" s="643">
        <v>3</v>
      </c>
      <c r="AK9" s="643">
        <v>4</v>
      </c>
      <c r="AL9" s="642"/>
      <c r="AM9" s="642"/>
      <c r="AN9" s="642"/>
      <c r="AO9" s="132"/>
      <c r="AP9" s="132"/>
      <c r="AQ9" s="132"/>
      <c r="AR9" s="132"/>
      <c r="AS9" s="132"/>
      <c r="AT9" s="132"/>
      <c r="AU9" s="132"/>
      <c r="AV9" s="132"/>
    </row>
    <row r="10" spans="2:49">
      <c r="B10" s="676"/>
      <c r="C10" s="676"/>
      <c r="D10" s="325" t="s">
        <v>42</v>
      </c>
      <c r="E10" s="535" t="s">
        <v>114</v>
      </c>
      <c r="F10" s="535" t="s">
        <v>115</v>
      </c>
      <c r="G10" s="643"/>
      <c r="H10" s="643"/>
      <c r="I10" s="643"/>
      <c r="J10" s="643"/>
      <c r="K10" s="643"/>
      <c r="L10" s="643"/>
      <c r="M10" s="643"/>
      <c r="N10" s="642"/>
      <c r="O10" s="643"/>
      <c r="P10" s="643"/>
      <c r="Q10" s="643"/>
      <c r="R10" s="643"/>
      <c r="S10" s="643"/>
      <c r="T10" s="643"/>
      <c r="U10" s="643"/>
      <c r="V10" s="642"/>
      <c r="W10" s="643"/>
      <c r="X10" s="643"/>
      <c r="Y10" s="643"/>
      <c r="Z10" s="643"/>
      <c r="AA10" s="643"/>
      <c r="AB10" s="643"/>
      <c r="AC10" s="643"/>
      <c r="AD10" s="642"/>
      <c r="AE10" s="643"/>
      <c r="AF10" s="643"/>
      <c r="AG10" s="643"/>
      <c r="AH10" s="643"/>
      <c r="AI10" s="643"/>
      <c r="AJ10" s="643"/>
      <c r="AK10" s="643"/>
      <c r="AL10" s="642"/>
      <c r="AM10" s="642"/>
      <c r="AN10" s="642"/>
      <c r="AO10" s="132"/>
      <c r="AP10" s="132"/>
      <c r="AQ10" s="132"/>
      <c r="AR10" s="132"/>
      <c r="AS10" s="132"/>
      <c r="AT10" s="132"/>
      <c r="AU10" s="132"/>
      <c r="AV10" s="132"/>
    </row>
    <row r="11" spans="2:49">
      <c r="B11" s="671" t="s">
        <v>384</v>
      </c>
      <c r="C11" s="672" t="s">
        <v>151</v>
      </c>
      <c r="D11" s="198">
        <v>1</v>
      </c>
      <c r="E11" s="583" t="s">
        <v>840</v>
      </c>
      <c r="F11" s="583" t="s">
        <v>841</v>
      </c>
      <c r="G11" s="536" t="s">
        <v>116</v>
      </c>
      <c r="H11" s="537" t="s">
        <v>116</v>
      </c>
      <c r="I11" s="537" t="s">
        <v>116</v>
      </c>
      <c r="J11" s="538" t="s">
        <v>117</v>
      </c>
      <c r="K11" s="536" t="s">
        <v>108</v>
      </c>
      <c r="L11" s="536" t="s">
        <v>108</v>
      </c>
      <c r="M11" s="536" t="s">
        <v>108</v>
      </c>
      <c r="N11" s="563">
        <v>72</v>
      </c>
      <c r="O11" s="537" t="s">
        <v>116</v>
      </c>
      <c r="P11" s="537" t="s">
        <v>116</v>
      </c>
      <c r="Q11" s="538" t="s">
        <v>117</v>
      </c>
      <c r="R11" s="538" t="s">
        <v>117</v>
      </c>
      <c r="S11" s="536" t="s">
        <v>108</v>
      </c>
      <c r="T11" s="536" t="s">
        <v>108</v>
      </c>
      <c r="U11" s="536" t="s">
        <v>108</v>
      </c>
      <c r="V11" s="563">
        <v>72</v>
      </c>
      <c r="W11" s="537" t="s">
        <v>116</v>
      </c>
      <c r="X11" s="537" t="s">
        <v>116</v>
      </c>
      <c r="Y11" s="537" t="s">
        <v>116</v>
      </c>
      <c r="Z11" s="538" t="s">
        <v>117</v>
      </c>
      <c r="AA11" s="536" t="s">
        <v>108</v>
      </c>
      <c r="AB11" s="537" t="s">
        <v>108</v>
      </c>
      <c r="AC11" s="537" t="s">
        <v>108</v>
      </c>
      <c r="AD11" s="563">
        <v>72</v>
      </c>
      <c r="AE11" s="537" t="s">
        <v>116</v>
      </c>
      <c r="AF11" s="537" t="s">
        <v>116</v>
      </c>
      <c r="AG11" s="538" t="s">
        <v>117</v>
      </c>
      <c r="AH11" s="538" t="s">
        <v>117</v>
      </c>
      <c r="AI11" s="536" t="s">
        <v>108</v>
      </c>
      <c r="AJ11" s="536" t="s">
        <v>108</v>
      </c>
      <c r="AK11" s="536" t="s">
        <v>108</v>
      </c>
      <c r="AL11" s="564">
        <v>60</v>
      </c>
      <c r="AM11" s="540" t="e">
        <v>#REF!</v>
      </c>
      <c r="AN11" s="541">
        <v>20</v>
      </c>
      <c r="AO11" s="132"/>
      <c r="AP11" s="132"/>
      <c r="AQ11" s="132"/>
      <c r="AR11" s="132"/>
      <c r="AS11" s="132"/>
      <c r="AT11" s="132"/>
      <c r="AU11" s="132"/>
      <c r="AV11" s="132"/>
    </row>
    <row r="12" spans="2:49">
      <c r="B12" s="671"/>
      <c r="C12" s="672"/>
      <c r="D12" s="198">
        <v>2</v>
      </c>
      <c r="E12" s="195" t="s">
        <v>864</v>
      </c>
      <c r="F12" s="195" t="s">
        <v>700</v>
      </c>
      <c r="G12" s="536" t="s">
        <v>108</v>
      </c>
      <c r="H12" s="536" t="s">
        <v>108</v>
      </c>
      <c r="I12" s="536" t="s">
        <v>116</v>
      </c>
      <c r="J12" s="536" t="s">
        <v>116</v>
      </c>
      <c r="K12" s="537" t="s">
        <v>116</v>
      </c>
      <c r="L12" s="565" t="s">
        <v>117</v>
      </c>
      <c r="M12" s="538" t="s">
        <v>117</v>
      </c>
      <c r="N12" s="566">
        <v>72</v>
      </c>
      <c r="O12" s="536" t="s">
        <v>108</v>
      </c>
      <c r="P12" s="536" t="s">
        <v>108</v>
      </c>
      <c r="Q12" s="536" t="s">
        <v>116</v>
      </c>
      <c r="R12" s="537" t="s">
        <v>116</v>
      </c>
      <c r="S12" s="536" t="s">
        <v>116</v>
      </c>
      <c r="T12" s="537" t="s">
        <v>116</v>
      </c>
      <c r="U12" s="538" t="s">
        <v>117</v>
      </c>
      <c r="V12" s="566">
        <v>60</v>
      </c>
      <c r="W12" s="537" t="s">
        <v>108</v>
      </c>
      <c r="X12" s="536" t="s">
        <v>108</v>
      </c>
      <c r="Y12" s="536" t="s">
        <v>108</v>
      </c>
      <c r="Z12" s="536" t="s">
        <v>116</v>
      </c>
      <c r="AA12" s="537" t="s">
        <v>116</v>
      </c>
      <c r="AB12" s="538" t="s">
        <v>117</v>
      </c>
      <c r="AC12" s="538" t="s">
        <v>117</v>
      </c>
      <c r="AD12" s="566">
        <v>60</v>
      </c>
      <c r="AE12" s="536" t="s">
        <v>108</v>
      </c>
      <c r="AF12" s="536" t="s">
        <v>108</v>
      </c>
      <c r="AG12" s="536" t="s">
        <v>116</v>
      </c>
      <c r="AH12" s="537" t="s">
        <v>116</v>
      </c>
      <c r="AI12" s="536" t="s">
        <v>116</v>
      </c>
      <c r="AJ12" s="537" t="s">
        <v>116</v>
      </c>
      <c r="AK12" s="538" t="s">
        <v>117</v>
      </c>
      <c r="AL12" s="564">
        <v>72</v>
      </c>
      <c r="AM12" s="541" t="e">
        <v>#REF!</v>
      </c>
      <c r="AN12" s="541">
        <v>20</v>
      </c>
      <c r="AO12" s="132"/>
      <c r="AP12" s="132"/>
      <c r="AQ12" s="132"/>
      <c r="AR12" s="132"/>
      <c r="AS12" s="132"/>
      <c r="AT12" s="132"/>
      <c r="AU12" s="132"/>
      <c r="AV12" s="132"/>
    </row>
    <row r="13" spans="2:49">
      <c r="B13" s="671"/>
      <c r="C13" s="672"/>
      <c r="D13" s="198">
        <v>3</v>
      </c>
      <c r="E13" s="195" t="s">
        <v>865</v>
      </c>
      <c r="F13" s="195" t="s">
        <v>517</v>
      </c>
      <c r="G13" s="536" t="s">
        <v>108</v>
      </c>
      <c r="H13" s="537" t="s">
        <v>108</v>
      </c>
      <c r="I13" s="537" t="s">
        <v>116</v>
      </c>
      <c r="J13" s="537" t="s">
        <v>116</v>
      </c>
      <c r="K13" s="538" t="s">
        <v>117</v>
      </c>
      <c r="L13" s="536" t="s">
        <v>108</v>
      </c>
      <c r="M13" s="536" t="s">
        <v>108</v>
      </c>
      <c r="N13" s="566">
        <v>60</v>
      </c>
      <c r="O13" s="536" t="s">
        <v>108</v>
      </c>
      <c r="P13" s="537" t="s">
        <v>116</v>
      </c>
      <c r="Q13" s="537" t="s">
        <v>116</v>
      </c>
      <c r="R13" s="537" t="s">
        <v>116</v>
      </c>
      <c r="S13" s="538" t="s">
        <v>117</v>
      </c>
      <c r="T13" s="538" t="s">
        <v>117</v>
      </c>
      <c r="U13" s="536" t="s">
        <v>108</v>
      </c>
      <c r="V13" s="563">
        <v>72</v>
      </c>
      <c r="W13" s="536" t="s">
        <v>108</v>
      </c>
      <c r="X13" s="536" t="s">
        <v>116</v>
      </c>
      <c r="Y13" s="537" t="s">
        <v>116</v>
      </c>
      <c r="Z13" s="537" t="s">
        <v>116</v>
      </c>
      <c r="AA13" s="538" t="s">
        <v>117</v>
      </c>
      <c r="AB13" s="536" t="s">
        <v>108</v>
      </c>
      <c r="AC13" s="537" t="s">
        <v>108</v>
      </c>
      <c r="AD13" s="563">
        <v>72</v>
      </c>
      <c r="AE13" s="536" t="s">
        <v>108</v>
      </c>
      <c r="AF13" s="537" t="s">
        <v>116</v>
      </c>
      <c r="AG13" s="537" t="s">
        <v>116</v>
      </c>
      <c r="AH13" s="537" t="s">
        <v>116</v>
      </c>
      <c r="AI13" s="538" t="s">
        <v>117</v>
      </c>
      <c r="AJ13" s="538" t="s">
        <v>117</v>
      </c>
      <c r="AK13" s="536" t="s">
        <v>108</v>
      </c>
      <c r="AL13" s="564">
        <v>60</v>
      </c>
      <c r="AM13" s="541" t="e">
        <v>#REF!</v>
      </c>
      <c r="AN13" s="541">
        <v>20</v>
      </c>
      <c r="AO13" s="132"/>
      <c r="AP13" s="132"/>
      <c r="AQ13" s="132"/>
      <c r="AR13" s="132"/>
      <c r="AS13" s="132"/>
      <c r="AT13" s="132"/>
      <c r="AU13" s="132"/>
      <c r="AV13" s="132"/>
    </row>
    <row r="14" spans="2:49">
      <c r="B14" s="671"/>
      <c r="C14" s="672" t="s">
        <v>152</v>
      </c>
      <c r="D14" s="198">
        <v>4</v>
      </c>
      <c r="E14" s="195" t="s">
        <v>866</v>
      </c>
      <c r="F14" s="195" t="s">
        <v>518</v>
      </c>
      <c r="G14" s="543" t="s">
        <v>117</v>
      </c>
      <c r="H14" s="536" t="s">
        <v>108</v>
      </c>
      <c r="I14" s="536" t="s">
        <v>108</v>
      </c>
      <c r="J14" s="536" t="s">
        <v>108</v>
      </c>
      <c r="K14" s="537" t="s">
        <v>116</v>
      </c>
      <c r="L14" s="537" t="s">
        <v>116</v>
      </c>
      <c r="M14" s="537" t="s">
        <v>116</v>
      </c>
      <c r="N14" s="566">
        <v>60</v>
      </c>
      <c r="O14" s="538" t="s">
        <v>117</v>
      </c>
      <c r="P14" s="536" t="s">
        <v>108</v>
      </c>
      <c r="Q14" s="536" t="s">
        <v>108</v>
      </c>
      <c r="R14" s="536" t="s">
        <v>108</v>
      </c>
      <c r="S14" s="537" t="s">
        <v>116</v>
      </c>
      <c r="T14" s="537" t="s">
        <v>116</v>
      </c>
      <c r="U14" s="536" t="s">
        <v>116</v>
      </c>
      <c r="V14" s="563">
        <v>72</v>
      </c>
      <c r="W14" s="567" t="s">
        <v>117</v>
      </c>
      <c r="X14" s="537" t="s">
        <v>108</v>
      </c>
      <c r="Y14" s="537" t="s">
        <v>108</v>
      </c>
      <c r="Z14" s="537" t="s">
        <v>108</v>
      </c>
      <c r="AA14" s="537" t="s">
        <v>116</v>
      </c>
      <c r="AB14" s="537" t="s">
        <v>116</v>
      </c>
      <c r="AC14" s="537" t="s">
        <v>116</v>
      </c>
      <c r="AD14" s="563">
        <v>72</v>
      </c>
      <c r="AE14" s="538" t="s">
        <v>117</v>
      </c>
      <c r="AF14" s="536" t="s">
        <v>108</v>
      </c>
      <c r="AG14" s="536" t="s">
        <v>108</v>
      </c>
      <c r="AH14" s="536" t="s">
        <v>108</v>
      </c>
      <c r="AI14" s="537" t="s">
        <v>116</v>
      </c>
      <c r="AJ14" s="537" t="s">
        <v>116</v>
      </c>
      <c r="AK14" s="536" t="s">
        <v>116</v>
      </c>
      <c r="AL14" s="564">
        <v>72</v>
      </c>
      <c r="AM14" s="540" t="e">
        <v>#REF!</v>
      </c>
      <c r="AN14" s="541">
        <v>20</v>
      </c>
      <c r="AO14" s="132"/>
      <c r="AP14" s="132"/>
      <c r="AQ14" s="132"/>
      <c r="AR14" s="132"/>
      <c r="AS14" s="132"/>
      <c r="AT14" s="132"/>
      <c r="AU14" s="132"/>
      <c r="AV14" s="132"/>
    </row>
    <row r="15" spans="2:49">
      <c r="B15" s="671"/>
      <c r="C15" s="672"/>
      <c r="D15" s="198">
        <v>5</v>
      </c>
      <c r="E15" s="195" t="s">
        <v>867</v>
      </c>
      <c r="F15" s="195" t="s">
        <v>519</v>
      </c>
      <c r="G15" s="536" t="s">
        <v>116</v>
      </c>
      <c r="H15" s="565" t="s">
        <v>117</v>
      </c>
      <c r="I15" s="537" t="s">
        <v>108</v>
      </c>
      <c r="J15" s="537" t="s">
        <v>108</v>
      </c>
      <c r="K15" s="536" t="s">
        <v>108</v>
      </c>
      <c r="L15" s="536" t="s">
        <v>116</v>
      </c>
      <c r="M15" s="536" t="s">
        <v>116</v>
      </c>
      <c r="N15" s="563">
        <v>72</v>
      </c>
      <c r="O15" s="536" t="s">
        <v>116</v>
      </c>
      <c r="P15" s="538" t="s">
        <v>117</v>
      </c>
      <c r="Q15" s="536" t="s">
        <v>108</v>
      </c>
      <c r="R15" s="536" t="s">
        <v>108</v>
      </c>
      <c r="S15" s="536" t="s">
        <v>108</v>
      </c>
      <c r="T15" s="536" t="s">
        <v>116</v>
      </c>
      <c r="U15" s="537" t="s">
        <v>116</v>
      </c>
      <c r="V15" s="563">
        <v>60</v>
      </c>
      <c r="W15" s="568" t="s">
        <v>116</v>
      </c>
      <c r="X15" s="538" t="s">
        <v>117</v>
      </c>
      <c r="Y15" s="538" t="s">
        <v>117</v>
      </c>
      <c r="Z15" s="536" t="s">
        <v>108</v>
      </c>
      <c r="AA15" s="536" t="s">
        <v>108</v>
      </c>
      <c r="AB15" s="536" t="s">
        <v>116</v>
      </c>
      <c r="AC15" s="536" t="s">
        <v>116</v>
      </c>
      <c r="AD15" s="563">
        <v>60</v>
      </c>
      <c r="AE15" s="536" t="s">
        <v>116</v>
      </c>
      <c r="AF15" s="538" t="s">
        <v>117</v>
      </c>
      <c r="AG15" s="536" t="s">
        <v>108</v>
      </c>
      <c r="AH15" s="536" t="s">
        <v>108</v>
      </c>
      <c r="AI15" s="536" t="s">
        <v>108</v>
      </c>
      <c r="AJ15" s="536" t="s">
        <v>116</v>
      </c>
      <c r="AK15" s="537" t="s">
        <v>116</v>
      </c>
      <c r="AL15" s="564">
        <v>72</v>
      </c>
      <c r="AM15" s="541" t="e">
        <v>#REF!</v>
      </c>
      <c r="AN15" s="541">
        <v>20</v>
      </c>
      <c r="AO15" s="132"/>
      <c r="AP15" s="132"/>
      <c r="AQ15" s="132"/>
      <c r="AR15" s="132"/>
      <c r="AS15" s="132"/>
      <c r="AT15" s="132"/>
      <c r="AU15" s="132"/>
      <c r="AV15" s="132"/>
    </row>
    <row r="16" spans="2:49">
      <c r="B16" s="671"/>
      <c r="C16" s="673" t="s">
        <v>153</v>
      </c>
      <c r="D16" s="198">
        <v>6</v>
      </c>
      <c r="E16" s="583" t="s">
        <v>521</v>
      </c>
      <c r="F16" s="583" t="s">
        <v>701</v>
      </c>
      <c r="G16" s="536" t="s">
        <v>108</v>
      </c>
      <c r="H16" s="537" t="s">
        <v>116</v>
      </c>
      <c r="I16" s="537" t="s">
        <v>116</v>
      </c>
      <c r="J16" s="538" t="s">
        <v>117</v>
      </c>
      <c r="K16" s="536" t="s">
        <v>108</v>
      </c>
      <c r="L16" s="536" t="s">
        <v>108</v>
      </c>
      <c r="M16" s="536" t="s">
        <v>116</v>
      </c>
      <c r="N16" s="563">
        <v>72</v>
      </c>
      <c r="O16" s="537" t="s">
        <v>116</v>
      </c>
      <c r="P16" s="537" t="s">
        <v>116</v>
      </c>
      <c r="Q16" s="538" t="s">
        <v>117</v>
      </c>
      <c r="R16" s="538" t="s">
        <v>117</v>
      </c>
      <c r="S16" s="536" t="s">
        <v>108</v>
      </c>
      <c r="T16" s="536" t="s">
        <v>108</v>
      </c>
      <c r="U16" s="536" t="s">
        <v>108</v>
      </c>
      <c r="V16" s="563">
        <v>72</v>
      </c>
      <c r="W16" s="537" t="s">
        <v>116</v>
      </c>
      <c r="X16" s="537" t="s">
        <v>116</v>
      </c>
      <c r="Y16" s="537" t="s">
        <v>116</v>
      </c>
      <c r="Z16" s="538" t="s">
        <v>117</v>
      </c>
      <c r="AA16" s="536" t="s">
        <v>108</v>
      </c>
      <c r="AB16" s="537" t="s">
        <v>108</v>
      </c>
      <c r="AC16" s="537" t="s">
        <v>108</v>
      </c>
      <c r="AD16" s="563">
        <v>72</v>
      </c>
      <c r="AE16" s="537" t="s">
        <v>116</v>
      </c>
      <c r="AF16" s="537" t="s">
        <v>116</v>
      </c>
      <c r="AG16" s="538" t="s">
        <v>117</v>
      </c>
      <c r="AH16" s="538" t="s">
        <v>117</v>
      </c>
      <c r="AI16" s="536" t="s">
        <v>108</v>
      </c>
      <c r="AJ16" s="536" t="s">
        <v>108</v>
      </c>
      <c r="AK16" s="536" t="s">
        <v>108</v>
      </c>
      <c r="AL16" s="564">
        <v>60</v>
      </c>
      <c r="AM16" s="540" t="e">
        <v>#REF!</v>
      </c>
      <c r="AN16" s="541">
        <v>20</v>
      </c>
      <c r="AO16" s="132"/>
      <c r="AP16" s="132"/>
      <c r="AQ16" s="132"/>
      <c r="AR16" s="132"/>
      <c r="AS16" s="132"/>
      <c r="AT16" s="132"/>
      <c r="AU16" s="132"/>
      <c r="AV16" s="132"/>
    </row>
    <row r="17" spans="2:48">
      <c r="B17" s="671"/>
      <c r="C17" s="673"/>
      <c r="D17" s="198">
        <v>7</v>
      </c>
      <c r="E17" s="195" t="s">
        <v>868</v>
      </c>
      <c r="F17" s="195" t="s">
        <v>528</v>
      </c>
      <c r="G17" s="536" t="s">
        <v>108</v>
      </c>
      <c r="H17" s="536" t="s">
        <v>108</v>
      </c>
      <c r="I17" s="536" t="s">
        <v>108</v>
      </c>
      <c r="J17" s="536" t="s">
        <v>116</v>
      </c>
      <c r="K17" s="537" t="s">
        <v>116</v>
      </c>
      <c r="L17" s="565" t="s">
        <v>117</v>
      </c>
      <c r="M17" s="538" t="s">
        <v>117</v>
      </c>
      <c r="N17" s="566">
        <v>72</v>
      </c>
      <c r="O17" s="536" t="s">
        <v>108</v>
      </c>
      <c r="P17" s="536" t="s">
        <v>108</v>
      </c>
      <c r="Q17" s="536" t="s">
        <v>108</v>
      </c>
      <c r="R17" s="537" t="s">
        <v>116</v>
      </c>
      <c r="S17" s="536" t="s">
        <v>116</v>
      </c>
      <c r="T17" s="537" t="s">
        <v>116</v>
      </c>
      <c r="U17" s="538" t="s">
        <v>117</v>
      </c>
      <c r="V17" s="566">
        <v>60</v>
      </c>
      <c r="W17" s="568" t="s">
        <v>108</v>
      </c>
      <c r="X17" s="536" t="s">
        <v>108</v>
      </c>
      <c r="Y17" s="536" t="s">
        <v>108</v>
      </c>
      <c r="Z17" s="536" t="s">
        <v>116</v>
      </c>
      <c r="AA17" s="537" t="s">
        <v>116</v>
      </c>
      <c r="AB17" s="538" t="s">
        <v>117</v>
      </c>
      <c r="AC17" s="538" t="s">
        <v>117</v>
      </c>
      <c r="AD17" s="566">
        <v>60</v>
      </c>
      <c r="AE17" s="536" t="s">
        <v>108</v>
      </c>
      <c r="AF17" s="536" t="s">
        <v>108</v>
      </c>
      <c r="AG17" s="536" t="s">
        <v>108</v>
      </c>
      <c r="AH17" s="537" t="s">
        <v>116</v>
      </c>
      <c r="AI17" s="536" t="s">
        <v>116</v>
      </c>
      <c r="AJ17" s="537" t="s">
        <v>116</v>
      </c>
      <c r="AK17" s="538" t="s">
        <v>117</v>
      </c>
      <c r="AL17" s="564">
        <v>72</v>
      </c>
      <c r="AM17" s="541" t="e">
        <v>#REF!</v>
      </c>
      <c r="AN17" s="541">
        <v>20</v>
      </c>
      <c r="AO17" s="132"/>
      <c r="AP17" s="132"/>
      <c r="AQ17" s="132"/>
      <c r="AR17" s="132"/>
      <c r="AS17" s="132"/>
      <c r="AT17" s="132"/>
      <c r="AU17" s="132"/>
      <c r="AV17" s="132"/>
    </row>
    <row r="18" spans="2:48">
      <c r="B18" s="671"/>
      <c r="C18" s="673"/>
      <c r="D18" s="198">
        <v>8</v>
      </c>
      <c r="E18" s="195" t="s">
        <v>869</v>
      </c>
      <c r="F18" s="195" t="s">
        <v>520</v>
      </c>
      <c r="G18" s="536" t="s">
        <v>108</v>
      </c>
      <c r="H18" s="537" t="s">
        <v>116</v>
      </c>
      <c r="I18" s="537" t="s">
        <v>116</v>
      </c>
      <c r="J18" s="537" t="s">
        <v>116</v>
      </c>
      <c r="K18" s="538" t="s">
        <v>117</v>
      </c>
      <c r="L18" s="536" t="s">
        <v>108</v>
      </c>
      <c r="M18" s="536" t="s">
        <v>108</v>
      </c>
      <c r="N18" s="566">
        <v>60</v>
      </c>
      <c r="O18" s="536" t="s">
        <v>108</v>
      </c>
      <c r="P18" s="537" t="s">
        <v>116</v>
      </c>
      <c r="Q18" s="537" t="s">
        <v>116</v>
      </c>
      <c r="R18" s="537" t="s">
        <v>116</v>
      </c>
      <c r="S18" s="538" t="s">
        <v>117</v>
      </c>
      <c r="T18" s="538" t="s">
        <v>117</v>
      </c>
      <c r="U18" s="536" t="s">
        <v>108</v>
      </c>
      <c r="V18" s="563">
        <v>72</v>
      </c>
      <c r="W18" s="568" t="s">
        <v>108</v>
      </c>
      <c r="X18" s="536" t="s">
        <v>116</v>
      </c>
      <c r="Y18" s="537" t="s">
        <v>116</v>
      </c>
      <c r="Z18" s="537" t="s">
        <v>116</v>
      </c>
      <c r="AA18" s="538" t="s">
        <v>117</v>
      </c>
      <c r="AB18" s="536" t="s">
        <v>108</v>
      </c>
      <c r="AC18" s="537" t="s">
        <v>108</v>
      </c>
      <c r="AD18" s="563">
        <v>72</v>
      </c>
      <c r="AE18" s="536" t="s">
        <v>108</v>
      </c>
      <c r="AF18" s="537" t="s">
        <v>116</v>
      </c>
      <c r="AG18" s="537" t="s">
        <v>116</v>
      </c>
      <c r="AH18" s="537" t="s">
        <v>116</v>
      </c>
      <c r="AI18" s="538" t="s">
        <v>117</v>
      </c>
      <c r="AJ18" s="538" t="s">
        <v>117</v>
      </c>
      <c r="AK18" s="536" t="s">
        <v>108</v>
      </c>
      <c r="AL18" s="564">
        <v>60</v>
      </c>
      <c r="AM18" s="541" t="e">
        <v>#REF!</v>
      </c>
      <c r="AN18" s="541">
        <v>20</v>
      </c>
      <c r="AO18" s="132"/>
      <c r="AP18" s="132"/>
      <c r="AQ18" s="132"/>
      <c r="AR18" s="132"/>
      <c r="AS18" s="132"/>
      <c r="AT18" s="132"/>
      <c r="AU18" s="132"/>
      <c r="AV18" s="132"/>
    </row>
    <row r="19" spans="2:48">
      <c r="B19" s="671"/>
      <c r="C19" s="673" t="s">
        <v>154</v>
      </c>
      <c r="D19" s="198">
        <v>9</v>
      </c>
      <c r="E19" s="584" t="s">
        <v>471</v>
      </c>
      <c r="F19" s="584" t="s">
        <v>472</v>
      </c>
      <c r="G19" s="543" t="s">
        <v>117</v>
      </c>
      <c r="H19" s="536" t="s">
        <v>108</v>
      </c>
      <c r="I19" s="536" t="s">
        <v>108</v>
      </c>
      <c r="J19" s="536" t="s">
        <v>108</v>
      </c>
      <c r="K19" s="537" t="s">
        <v>116</v>
      </c>
      <c r="L19" s="537" t="s">
        <v>116</v>
      </c>
      <c r="M19" s="537" t="s">
        <v>116</v>
      </c>
      <c r="N19" s="566">
        <v>60</v>
      </c>
      <c r="O19" s="538" t="s">
        <v>117</v>
      </c>
      <c r="P19" s="536" t="s">
        <v>108</v>
      </c>
      <c r="Q19" s="536" t="s">
        <v>108</v>
      </c>
      <c r="R19" s="536" t="s">
        <v>108</v>
      </c>
      <c r="S19" s="537" t="s">
        <v>116</v>
      </c>
      <c r="T19" s="537" t="s">
        <v>116</v>
      </c>
      <c r="U19" s="536" t="s">
        <v>116</v>
      </c>
      <c r="V19" s="563">
        <v>72</v>
      </c>
      <c r="W19" s="569" t="s">
        <v>117</v>
      </c>
      <c r="X19" s="537" t="s">
        <v>108</v>
      </c>
      <c r="Y19" s="537" t="s">
        <v>108</v>
      </c>
      <c r="Z19" s="537" t="s">
        <v>108</v>
      </c>
      <c r="AA19" s="537" t="s">
        <v>108</v>
      </c>
      <c r="AB19" s="537" t="s">
        <v>116</v>
      </c>
      <c r="AC19" s="537" t="s">
        <v>116</v>
      </c>
      <c r="AD19" s="563">
        <v>72</v>
      </c>
      <c r="AE19" s="538" t="s">
        <v>117</v>
      </c>
      <c r="AF19" s="536" t="s">
        <v>108</v>
      </c>
      <c r="AG19" s="536" t="s">
        <v>108</v>
      </c>
      <c r="AH19" s="536" t="s">
        <v>108</v>
      </c>
      <c r="AI19" s="537" t="s">
        <v>116</v>
      </c>
      <c r="AJ19" s="537" t="s">
        <v>116</v>
      </c>
      <c r="AK19" s="536" t="s">
        <v>116</v>
      </c>
      <c r="AL19" s="564">
        <v>72</v>
      </c>
      <c r="AM19" s="540" t="e">
        <v>#REF!</v>
      </c>
      <c r="AN19" s="541">
        <v>20</v>
      </c>
      <c r="AO19" s="132"/>
      <c r="AP19" s="132"/>
      <c r="AQ19" s="132"/>
      <c r="AR19" s="132"/>
      <c r="AS19" s="132"/>
      <c r="AT19" s="132"/>
      <c r="AU19" s="132"/>
      <c r="AV19" s="132"/>
    </row>
    <row r="20" spans="2:48">
      <c r="B20" s="671"/>
      <c r="C20" s="673"/>
      <c r="D20" s="198">
        <v>10</v>
      </c>
      <c r="E20" s="195" t="s">
        <v>420</v>
      </c>
      <c r="F20" s="195" t="s">
        <v>522</v>
      </c>
      <c r="G20" s="536" t="s">
        <v>116</v>
      </c>
      <c r="H20" s="565" t="s">
        <v>117</v>
      </c>
      <c r="I20" s="538" t="s">
        <v>117</v>
      </c>
      <c r="J20" s="537" t="s">
        <v>108</v>
      </c>
      <c r="K20" s="536" t="s">
        <v>108</v>
      </c>
      <c r="L20" s="536" t="s">
        <v>116</v>
      </c>
      <c r="M20" s="536" t="s">
        <v>116</v>
      </c>
      <c r="N20" s="563">
        <v>72</v>
      </c>
      <c r="O20" s="536" t="s">
        <v>116</v>
      </c>
      <c r="P20" s="538" t="s">
        <v>117</v>
      </c>
      <c r="Q20" s="536" t="s">
        <v>108</v>
      </c>
      <c r="R20" s="536" t="s">
        <v>108</v>
      </c>
      <c r="S20" s="536" t="s">
        <v>108</v>
      </c>
      <c r="T20" s="536" t="s">
        <v>108</v>
      </c>
      <c r="U20" s="537" t="s">
        <v>116</v>
      </c>
      <c r="V20" s="563">
        <v>60</v>
      </c>
      <c r="W20" s="537" t="s">
        <v>116</v>
      </c>
      <c r="X20" s="538" t="s">
        <v>117</v>
      </c>
      <c r="Y20" s="538" t="s">
        <v>117</v>
      </c>
      <c r="Z20" s="536" t="s">
        <v>108</v>
      </c>
      <c r="AA20" s="536" t="s">
        <v>108</v>
      </c>
      <c r="AB20" s="536" t="s">
        <v>116</v>
      </c>
      <c r="AC20" s="536" t="s">
        <v>116</v>
      </c>
      <c r="AD20" s="563">
        <v>60</v>
      </c>
      <c r="AE20" s="536" t="s">
        <v>116</v>
      </c>
      <c r="AF20" s="538" t="s">
        <v>117</v>
      </c>
      <c r="AG20" s="536" t="s">
        <v>108</v>
      </c>
      <c r="AH20" s="536" t="s">
        <v>108</v>
      </c>
      <c r="AI20" s="536" t="s">
        <v>108</v>
      </c>
      <c r="AJ20" s="536" t="s">
        <v>108</v>
      </c>
      <c r="AK20" s="537" t="s">
        <v>116</v>
      </c>
      <c r="AL20" s="564">
        <v>72</v>
      </c>
      <c r="AM20" s="541" t="e">
        <v>#REF!</v>
      </c>
      <c r="AN20" s="541">
        <v>20</v>
      </c>
      <c r="AO20" s="132"/>
      <c r="AP20" s="132"/>
      <c r="AQ20" s="132"/>
      <c r="AR20" s="132"/>
      <c r="AS20" s="132"/>
      <c r="AT20" s="132"/>
      <c r="AU20" s="132"/>
      <c r="AV20" s="132"/>
    </row>
    <row r="21" spans="2:48">
      <c r="B21" s="671"/>
      <c r="C21" s="674" t="s">
        <v>155</v>
      </c>
      <c r="D21" s="198">
        <v>11</v>
      </c>
      <c r="E21" s="583" t="s">
        <v>702</v>
      </c>
      <c r="F21" s="583" t="s">
        <v>523</v>
      </c>
      <c r="G21" s="536" t="s">
        <v>116</v>
      </c>
      <c r="H21" s="537" t="s">
        <v>116</v>
      </c>
      <c r="I21" s="570" t="s">
        <v>117</v>
      </c>
      <c r="J21" s="538" t="s">
        <v>117</v>
      </c>
      <c r="K21" s="536" t="s">
        <v>108</v>
      </c>
      <c r="L21" s="536" t="s">
        <v>108</v>
      </c>
      <c r="M21" s="536" t="s">
        <v>108</v>
      </c>
      <c r="N21" s="563">
        <v>72</v>
      </c>
      <c r="O21" s="537" t="s">
        <v>116</v>
      </c>
      <c r="P21" s="537" t="s">
        <v>116</v>
      </c>
      <c r="Q21" s="538" t="s">
        <v>117</v>
      </c>
      <c r="R21" s="538" t="s">
        <v>117</v>
      </c>
      <c r="S21" s="536" t="s">
        <v>108</v>
      </c>
      <c r="T21" s="536" t="s">
        <v>108</v>
      </c>
      <c r="U21" s="536" t="s">
        <v>108</v>
      </c>
      <c r="V21" s="563">
        <v>72</v>
      </c>
      <c r="W21" s="568" t="s">
        <v>116</v>
      </c>
      <c r="X21" s="537" t="s">
        <v>116</v>
      </c>
      <c r="Y21" s="537" t="s">
        <v>116</v>
      </c>
      <c r="Z21" s="538" t="s">
        <v>117</v>
      </c>
      <c r="AA21" s="536" t="s">
        <v>108</v>
      </c>
      <c r="AB21" s="537" t="s">
        <v>116</v>
      </c>
      <c r="AC21" s="537" t="s">
        <v>116</v>
      </c>
      <c r="AD21" s="563">
        <v>72</v>
      </c>
      <c r="AE21" s="537" t="s">
        <v>116</v>
      </c>
      <c r="AF21" s="537" t="s">
        <v>116</v>
      </c>
      <c r="AG21" s="538" t="s">
        <v>117</v>
      </c>
      <c r="AH21" s="538" t="s">
        <v>117</v>
      </c>
      <c r="AI21" s="536" t="s">
        <v>108</v>
      </c>
      <c r="AJ21" s="536" t="s">
        <v>108</v>
      </c>
      <c r="AK21" s="536" t="s">
        <v>108</v>
      </c>
      <c r="AL21" s="564">
        <v>60</v>
      </c>
      <c r="AM21" s="540" t="e">
        <v>#REF!</v>
      </c>
      <c r="AN21" s="541">
        <v>20</v>
      </c>
      <c r="AO21" s="132"/>
      <c r="AP21" s="132"/>
      <c r="AQ21" s="132"/>
      <c r="AR21" s="132"/>
      <c r="AS21" s="132"/>
      <c r="AT21" s="132"/>
      <c r="AU21" s="132"/>
      <c r="AV21" s="132"/>
    </row>
    <row r="22" spans="2:48">
      <c r="B22" s="671"/>
      <c r="C22" s="674"/>
      <c r="D22" s="198">
        <v>12</v>
      </c>
      <c r="E22" s="195" t="s">
        <v>870</v>
      </c>
      <c r="F22" s="195" t="s">
        <v>524</v>
      </c>
      <c r="G22" s="536" t="s">
        <v>108</v>
      </c>
      <c r="H22" s="536" t="s">
        <v>108</v>
      </c>
      <c r="I22" s="536" t="s">
        <v>108</v>
      </c>
      <c r="J22" s="536" t="s">
        <v>116</v>
      </c>
      <c r="K22" s="537" t="s">
        <v>116</v>
      </c>
      <c r="L22" s="565" t="s">
        <v>117</v>
      </c>
      <c r="M22" s="538" t="s">
        <v>117</v>
      </c>
      <c r="N22" s="566">
        <v>72</v>
      </c>
      <c r="O22" s="536" t="s">
        <v>108</v>
      </c>
      <c r="P22" s="536" t="s">
        <v>108</v>
      </c>
      <c r="Q22" s="536" t="s">
        <v>108</v>
      </c>
      <c r="R22" s="537" t="s">
        <v>108</v>
      </c>
      <c r="S22" s="536" t="s">
        <v>116</v>
      </c>
      <c r="T22" s="537" t="s">
        <v>116</v>
      </c>
      <c r="U22" s="538" t="s">
        <v>117</v>
      </c>
      <c r="V22" s="566">
        <v>60</v>
      </c>
      <c r="W22" s="536" t="s">
        <v>108</v>
      </c>
      <c r="X22" s="536" t="s">
        <v>108</v>
      </c>
      <c r="Y22" s="536" t="s">
        <v>108</v>
      </c>
      <c r="Z22" s="536" t="s">
        <v>116</v>
      </c>
      <c r="AA22" s="537" t="s">
        <v>116</v>
      </c>
      <c r="AB22" s="538" t="s">
        <v>117</v>
      </c>
      <c r="AC22" s="538" t="s">
        <v>117</v>
      </c>
      <c r="AD22" s="566">
        <v>60</v>
      </c>
      <c r="AE22" s="536" t="s">
        <v>108</v>
      </c>
      <c r="AF22" s="536" t="s">
        <v>108</v>
      </c>
      <c r="AG22" s="536" t="s">
        <v>108</v>
      </c>
      <c r="AH22" s="537" t="s">
        <v>108</v>
      </c>
      <c r="AI22" s="536" t="s">
        <v>116</v>
      </c>
      <c r="AJ22" s="537" t="s">
        <v>116</v>
      </c>
      <c r="AK22" s="538" t="s">
        <v>117</v>
      </c>
      <c r="AL22" s="564">
        <v>72</v>
      </c>
      <c r="AM22" s="541" t="e">
        <v>#REF!</v>
      </c>
      <c r="AN22" s="541">
        <v>20</v>
      </c>
      <c r="AO22" s="132"/>
      <c r="AP22" s="132"/>
      <c r="AQ22" s="132"/>
      <c r="AR22" s="132"/>
      <c r="AS22" s="132"/>
      <c r="AT22" s="132"/>
      <c r="AU22" s="132"/>
      <c r="AV22" s="132"/>
    </row>
    <row r="23" spans="2:48">
      <c r="B23" s="671"/>
      <c r="C23" s="675" t="s">
        <v>156</v>
      </c>
      <c r="D23" s="198">
        <v>13</v>
      </c>
      <c r="E23" s="195" t="s">
        <v>871</v>
      </c>
      <c r="F23" s="195" t="s">
        <v>699</v>
      </c>
      <c r="G23" s="536" t="s">
        <v>108</v>
      </c>
      <c r="H23" s="537" t="s">
        <v>116</v>
      </c>
      <c r="I23" s="537" t="s">
        <v>116</v>
      </c>
      <c r="J23" s="537" t="s">
        <v>116</v>
      </c>
      <c r="K23" s="538" t="s">
        <v>117</v>
      </c>
      <c r="L23" s="536" t="s">
        <v>108</v>
      </c>
      <c r="M23" s="536" t="s">
        <v>108</v>
      </c>
      <c r="N23" s="566">
        <v>60</v>
      </c>
      <c r="O23" s="536" t="s">
        <v>108</v>
      </c>
      <c r="P23" s="537" t="s">
        <v>116</v>
      </c>
      <c r="Q23" s="537" t="s">
        <v>116</v>
      </c>
      <c r="R23" s="537" t="s">
        <v>116</v>
      </c>
      <c r="S23" s="538" t="s">
        <v>117</v>
      </c>
      <c r="T23" s="538" t="s">
        <v>117</v>
      </c>
      <c r="U23" s="536" t="s">
        <v>108</v>
      </c>
      <c r="V23" s="563">
        <v>72</v>
      </c>
      <c r="W23" s="536" t="s">
        <v>108</v>
      </c>
      <c r="X23" s="536" t="s">
        <v>116</v>
      </c>
      <c r="Y23" s="537" t="s">
        <v>116</v>
      </c>
      <c r="Z23" s="537" t="s">
        <v>116</v>
      </c>
      <c r="AA23" s="538" t="s">
        <v>117</v>
      </c>
      <c r="AB23" s="536" t="s">
        <v>108</v>
      </c>
      <c r="AC23" s="537" t="s">
        <v>108</v>
      </c>
      <c r="AD23" s="563">
        <v>72</v>
      </c>
      <c r="AE23" s="536" t="s">
        <v>108</v>
      </c>
      <c r="AF23" s="537" t="s">
        <v>116</v>
      </c>
      <c r="AG23" s="537" t="s">
        <v>116</v>
      </c>
      <c r="AH23" s="537" t="s">
        <v>116</v>
      </c>
      <c r="AI23" s="538" t="s">
        <v>117</v>
      </c>
      <c r="AJ23" s="538" t="s">
        <v>117</v>
      </c>
      <c r="AK23" s="536" t="s">
        <v>108</v>
      </c>
      <c r="AL23" s="564">
        <v>60</v>
      </c>
      <c r="AM23" s="541" t="e">
        <v>#REF!</v>
      </c>
      <c r="AN23" s="541">
        <v>20</v>
      </c>
      <c r="AO23" s="132"/>
      <c r="AP23" s="132"/>
      <c r="AQ23" s="132"/>
      <c r="AR23" s="132"/>
      <c r="AS23" s="132"/>
      <c r="AT23" s="132"/>
      <c r="AU23" s="132"/>
      <c r="AV23" s="132"/>
    </row>
    <row r="24" spans="2:48">
      <c r="B24" s="671"/>
      <c r="C24" s="675"/>
      <c r="D24" s="198">
        <v>14</v>
      </c>
      <c r="E24" s="583" t="s">
        <v>703</v>
      </c>
      <c r="F24" s="583" t="s">
        <v>439</v>
      </c>
      <c r="G24" s="543" t="s">
        <v>117</v>
      </c>
      <c r="H24" s="536" t="s">
        <v>108</v>
      </c>
      <c r="I24" s="536" t="s">
        <v>108</v>
      </c>
      <c r="J24" s="536" t="s">
        <v>108</v>
      </c>
      <c r="K24" s="537" t="s">
        <v>108</v>
      </c>
      <c r="L24" s="537" t="s">
        <v>116</v>
      </c>
      <c r="M24" s="537" t="s">
        <v>116</v>
      </c>
      <c r="N24" s="566">
        <v>60</v>
      </c>
      <c r="O24" s="538" t="s">
        <v>117</v>
      </c>
      <c r="P24" s="536" t="s">
        <v>108</v>
      </c>
      <c r="Q24" s="536" t="s">
        <v>108</v>
      </c>
      <c r="R24" s="536" t="s">
        <v>108</v>
      </c>
      <c r="S24" s="537" t="s">
        <v>108</v>
      </c>
      <c r="T24" s="537" t="s">
        <v>116</v>
      </c>
      <c r="U24" s="536" t="s">
        <v>116</v>
      </c>
      <c r="V24" s="563">
        <v>72</v>
      </c>
      <c r="W24" s="571" t="s">
        <v>117</v>
      </c>
      <c r="X24" s="537" t="s">
        <v>108</v>
      </c>
      <c r="Y24" s="537" t="s">
        <v>108</v>
      </c>
      <c r="Z24" s="537" t="s">
        <v>108</v>
      </c>
      <c r="AA24" s="537" t="s">
        <v>108</v>
      </c>
      <c r="AB24" s="537" t="s">
        <v>116</v>
      </c>
      <c r="AC24" s="537" t="s">
        <v>116</v>
      </c>
      <c r="AD24" s="563">
        <v>72</v>
      </c>
      <c r="AE24" s="538" t="s">
        <v>117</v>
      </c>
      <c r="AF24" s="536" t="s">
        <v>108</v>
      </c>
      <c r="AG24" s="536" t="s">
        <v>108</v>
      </c>
      <c r="AH24" s="536" t="s">
        <v>108</v>
      </c>
      <c r="AI24" s="537" t="s">
        <v>108</v>
      </c>
      <c r="AJ24" s="537" t="s">
        <v>116</v>
      </c>
      <c r="AK24" s="536" t="s">
        <v>116</v>
      </c>
      <c r="AL24" s="564">
        <v>72</v>
      </c>
      <c r="AM24" s="540" t="e">
        <v>#REF!</v>
      </c>
      <c r="AN24" s="541">
        <v>20</v>
      </c>
      <c r="AO24" s="132"/>
      <c r="AP24" s="132"/>
      <c r="AQ24" s="132"/>
      <c r="AR24" s="132"/>
      <c r="AS24" s="132"/>
      <c r="AT24" s="132"/>
      <c r="AU24" s="132"/>
      <c r="AV24" s="132"/>
    </row>
    <row r="25" spans="2:48">
      <c r="B25" s="671"/>
      <c r="C25" s="675"/>
      <c r="D25" s="198">
        <v>15</v>
      </c>
      <c r="E25" s="195" t="s">
        <v>872</v>
      </c>
      <c r="F25" s="195" t="s">
        <v>704</v>
      </c>
      <c r="G25" s="536" t="s">
        <v>116</v>
      </c>
      <c r="H25" s="565" t="s">
        <v>117</v>
      </c>
      <c r="I25" s="538" t="s">
        <v>117</v>
      </c>
      <c r="J25" s="537" t="s">
        <v>108</v>
      </c>
      <c r="K25" s="536" t="s">
        <v>108</v>
      </c>
      <c r="L25" s="536" t="s">
        <v>116</v>
      </c>
      <c r="M25" s="536" t="s">
        <v>116</v>
      </c>
      <c r="N25" s="563">
        <v>72</v>
      </c>
      <c r="O25" s="536" t="s">
        <v>116</v>
      </c>
      <c r="P25" s="538" t="s">
        <v>117</v>
      </c>
      <c r="Q25" s="536" t="s">
        <v>108</v>
      </c>
      <c r="R25" s="536" t="s">
        <v>108</v>
      </c>
      <c r="S25" s="536" t="s">
        <v>108</v>
      </c>
      <c r="T25" s="536" t="s">
        <v>108</v>
      </c>
      <c r="U25" s="536" t="s">
        <v>116</v>
      </c>
      <c r="V25" s="563">
        <v>60</v>
      </c>
      <c r="W25" s="568" t="s">
        <v>116</v>
      </c>
      <c r="X25" s="538" t="s">
        <v>117</v>
      </c>
      <c r="Y25" s="538" t="s">
        <v>117</v>
      </c>
      <c r="Z25" s="536" t="s">
        <v>108</v>
      </c>
      <c r="AA25" s="536" t="s">
        <v>108</v>
      </c>
      <c r="AB25" s="536" t="s">
        <v>108</v>
      </c>
      <c r="AC25" s="536" t="s">
        <v>116</v>
      </c>
      <c r="AD25" s="563">
        <v>60</v>
      </c>
      <c r="AE25" s="536" t="s">
        <v>116</v>
      </c>
      <c r="AF25" s="538" t="s">
        <v>117</v>
      </c>
      <c r="AG25" s="536" t="s">
        <v>108</v>
      </c>
      <c r="AH25" s="536" t="s">
        <v>108</v>
      </c>
      <c r="AI25" s="536" t="s">
        <v>108</v>
      </c>
      <c r="AJ25" s="536" t="s">
        <v>108</v>
      </c>
      <c r="AK25" s="537" t="s">
        <v>116</v>
      </c>
      <c r="AL25" s="564">
        <v>72</v>
      </c>
      <c r="AM25" s="541" t="e">
        <v>#REF!</v>
      </c>
      <c r="AN25" s="541">
        <v>20</v>
      </c>
      <c r="AO25" s="132"/>
      <c r="AP25" s="132"/>
      <c r="AQ25" s="132"/>
      <c r="AR25" s="132"/>
      <c r="AS25" s="132"/>
      <c r="AT25" s="132"/>
      <c r="AU25" s="132"/>
      <c r="AV25" s="132"/>
    </row>
    <row r="26" spans="2:48">
      <c r="B26" s="662" t="s">
        <v>157</v>
      </c>
      <c r="C26" s="663" t="s">
        <v>158</v>
      </c>
      <c r="D26" s="198">
        <v>16</v>
      </c>
      <c r="E26" s="195" t="s">
        <v>873</v>
      </c>
      <c r="F26" s="195" t="s">
        <v>874</v>
      </c>
      <c r="G26" s="572" t="s">
        <v>104</v>
      </c>
      <c r="H26" s="573" t="s">
        <v>117</v>
      </c>
      <c r="I26" s="573" t="s">
        <v>117</v>
      </c>
      <c r="J26" s="574" t="s">
        <v>104</v>
      </c>
      <c r="K26" s="574" t="s">
        <v>104</v>
      </c>
      <c r="L26" s="574" t="s">
        <v>104</v>
      </c>
      <c r="M26" s="574" t="s">
        <v>104</v>
      </c>
      <c r="N26" s="575">
        <v>48</v>
      </c>
      <c r="O26" s="572" t="s">
        <v>104</v>
      </c>
      <c r="P26" s="573" t="s">
        <v>117</v>
      </c>
      <c r="Q26" s="573" t="s">
        <v>117</v>
      </c>
      <c r="R26" s="574" t="s">
        <v>104</v>
      </c>
      <c r="S26" s="574" t="s">
        <v>104</v>
      </c>
      <c r="T26" s="574" t="s">
        <v>104</v>
      </c>
      <c r="U26" s="574" t="s">
        <v>104</v>
      </c>
      <c r="V26" s="575">
        <v>48</v>
      </c>
      <c r="W26" s="572" t="s">
        <v>104</v>
      </c>
      <c r="X26" s="573" t="s">
        <v>117</v>
      </c>
      <c r="Y26" s="573" t="s">
        <v>117</v>
      </c>
      <c r="Z26" s="574" t="s">
        <v>104</v>
      </c>
      <c r="AA26" s="574" t="s">
        <v>104</v>
      </c>
      <c r="AB26" s="574" t="s">
        <v>104</v>
      </c>
      <c r="AC26" s="574" t="s">
        <v>104</v>
      </c>
      <c r="AD26" s="575">
        <v>48</v>
      </c>
      <c r="AE26" s="572" t="s">
        <v>104</v>
      </c>
      <c r="AF26" s="573" t="s">
        <v>117</v>
      </c>
      <c r="AG26" s="573" t="s">
        <v>117</v>
      </c>
      <c r="AH26" s="574" t="s">
        <v>104</v>
      </c>
      <c r="AI26" s="574" t="s">
        <v>104</v>
      </c>
      <c r="AJ26" s="574" t="s">
        <v>104</v>
      </c>
      <c r="AK26" s="574" t="s">
        <v>104</v>
      </c>
      <c r="AL26" s="575">
        <v>48</v>
      </c>
      <c r="AM26" s="541" t="e">
        <v>#REF!</v>
      </c>
      <c r="AN26" s="541">
        <v>20</v>
      </c>
      <c r="AO26" s="132"/>
      <c r="AP26" s="132"/>
      <c r="AQ26" s="132"/>
      <c r="AR26" s="132"/>
      <c r="AS26" s="132"/>
      <c r="AT26" s="132"/>
      <c r="AU26" s="132"/>
      <c r="AV26" s="132"/>
    </row>
    <row r="27" spans="2:48">
      <c r="B27" s="662"/>
      <c r="C27" s="663"/>
      <c r="D27" s="198">
        <v>17</v>
      </c>
      <c r="E27" s="195" t="s">
        <v>875</v>
      </c>
      <c r="F27" s="195" t="s">
        <v>525</v>
      </c>
      <c r="G27" s="576" t="s">
        <v>159</v>
      </c>
      <c r="H27" s="576" t="s">
        <v>159</v>
      </c>
      <c r="I27" s="576" t="s">
        <v>159</v>
      </c>
      <c r="J27" s="577" t="s">
        <v>117</v>
      </c>
      <c r="K27" s="577" t="s">
        <v>117</v>
      </c>
      <c r="L27" s="578" t="s">
        <v>140</v>
      </c>
      <c r="M27" s="578" t="s">
        <v>140</v>
      </c>
      <c r="N27" s="575">
        <v>48</v>
      </c>
      <c r="O27" s="576" t="s">
        <v>159</v>
      </c>
      <c r="P27" s="576" t="s">
        <v>159</v>
      </c>
      <c r="Q27" s="576" t="s">
        <v>159</v>
      </c>
      <c r="R27" s="577" t="s">
        <v>117</v>
      </c>
      <c r="S27" s="577" t="s">
        <v>117</v>
      </c>
      <c r="T27" s="578" t="s">
        <v>140</v>
      </c>
      <c r="U27" s="578" t="s">
        <v>140</v>
      </c>
      <c r="V27" s="575">
        <v>48</v>
      </c>
      <c r="W27" s="576" t="s">
        <v>159</v>
      </c>
      <c r="X27" s="576" t="s">
        <v>159</v>
      </c>
      <c r="Y27" s="576" t="s">
        <v>159</v>
      </c>
      <c r="Z27" s="577" t="s">
        <v>117</v>
      </c>
      <c r="AA27" s="577" t="s">
        <v>117</v>
      </c>
      <c r="AB27" s="578" t="s">
        <v>140</v>
      </c>
      <c r="AC27" s="578" t="s">
        <v>140</v>
      </c>
      <c r="AD27" s="575">
        <v>48</v>
      </c>
      <c r="AE27" s="576" t="s">
        <v>159</v>
      </c>
      <c r="AF27" s="576" t="s">
        <v>159</v>
      </c>
      <c r="AG27" s="576" t="s">
        <v>159</v>
      </c>
      <c r="AH27" s="577" t="s">
        <v>117</v>
      </c>
      <c r="AI27" s="577" t="s">
        <v>117</v>
      </c>
      <c r="AJ27" s="578" t="s">
        <v>140</v>
      </c>
      <c r="AK27" s="578" t="s">
        <v>140</v>
      </c>
      <c r="AL27" s="575">
        <v>48</v>
      </c>
      <c r="AM27" s="541" t="e">
        <v>#REF!</v>
      </c>
      <c r="AN27" s="541">
        <v>20</v>
      </c>
      <c r="AO27" s="132"/>
      <c r="AP27" s="132"/>
      <c r="AQ27" s="132"/>
      <c r="AR27" s="132"/>
      <c r="AS27" s="132"/>
      <c r="AT27" s="132"/>
      <c r="AU27" s="132"/>
      <c r="AV27" s="132"/>
    </row>
    <row r="28" spans="2:48">
      <c r="B28" s="662"/>
      <c r="C28" s="663"/>
      <c r="D28" s="198">
        <v>18</v>
      </c>
      <c r="E28" s="583" t="s">
        <v>444</v>
      </c>
      <c r="F28" s="583" t="s">
        <v>794</v>
      </c>
      <c r="G28" s="579" t="s">
        <v>117</v>
      </c>
      <c r="H28" s="576" t="s">
        <v>104</v>
      </c>
      <c r="I28" s="576" t="s">
        <v>104</v>
      </c>
      <c r="J28" s="576" t="s">
        <v>159</v>
      </c>
      <c r="K28" s="574" t="s">
        <v>159</v>
      </c>
      <c r="L28" s="574" t="s">
        <v>159</v>
      </c>
      <c r="M28" s="572" t="s">
        <v>159</v>
      </c>
      <c r="N28" s="564">
        <v>48</v>
      </c>
      <c r="O28" s="579" t="s">
        <v>117</v>
      </c>
      <c r="P28" s="576" t="s">
        <v>104</v>
      </c>
      <c r="Q28" s="576" t="s">
        <v>104</v>
      </c>
      <c r="R28" s="576" t="s">
        <v>159</v>
      </c>
      <c r="S28" s="574" t="s">
        <v>159</v>
      </c>
      <c r="T28" s="574" t="s">
        <v>159</v>
      </c>
      <c r="U28" s="572" t="s">
        <v>159</v>
      </c>
      <c r="V28" s="564">
        <v>48</v>
      </c>
      <c r="W28" s="579" t="s">
        <v>117</v>
      </c>
      <c r="X28" s="576" t="s">
        <v>104</v>
      </c>
      <c r="Y28" s="576" t="s">
        <v>104</v>
      </c>
      <c r="Z28" s="576" t="s">
        <v>159</v>
      </c>
      <c r="AA28" s="574" t="s">
        <v>159</v>
      </c>
      <c r="AB28" s="574" t="s">
        <v>159</v>
      </c>
      <c r="AC28" s="572" t="s">
        <v>159</v>
      </c>
      <c r="AD28" s="564">
        <v>48</v>
      </c>
      <c r="AE28" s="579" t="s">
        <v>117</v>
      </c>
      <c r="AF28" s="576" t="s">
        <v>104</v>
      </c>
      <c r="AG28" s="576" t="s">
        <v>104</v>
      </c>
      <c r="AH28" s="576" t="s">
        <v>159</v>
      </c>
      <c r="AI28" s="574" t="s">
        <v>159</v>
      </c>
      <c r="AJ28" s="574" t="s">
        <v>159</v>
      </c>
      <c r="AK28" s="572" t="s">
        <v>159</v>
      </c>
      <c r="AL28" s="564">
        <v>48</v>
      </c>
      <c r="AM28" s="541" t="e">
        <v>#REF!</v>
      </c>
      <c r="AN28" s="541">
        <v>20</v>
      </c>
      <c r="AO28" s="132"/>
      <c r="AP28" s="132"/>
      <c r="AQ28" s="132"/>
      <c r="AR28" s="132"/>
      <c r="AS28" s="132"/>
      <c r="AT28" s="132"/>
      <c r="AU28" s="132"/>
      <c r="AV28" s="132"/>
    </row>
    <row r="29" spans="2:48" ht="14.25" customHeight="1">
      <c r="B29" s="340" t="s">
        <v>160</v>
      </c>
      <c r="C29" s="356" t="s">
        <v>161</v>
      </c>
      <c r="D29" s="198">
        <v>19</v>
      </c>
      <c r="E29" s="583" t="s">
        <v>705</v>
      </c>
      <c r="F29" s="583" t="s">
        <v>526</v>
      </c>
      <c r="G29" s="536" t="s">
        <v>116</v>
      </c>
      <c r="H29" s="536" t="s">
        <v>116</v>
      </c>
      <c r="I29" s="538" t="s">
        <v>117</v>
      </c>
      <c r="J29" s="536" t="s">
        <v>108</v>
      </c>
      <c r="K29" s="536" t="s">
        <v>108</v>
      </c>
      <c r="L29" s="538" t="s">
        <v>117</v>
      </c>
      <c r="M29" s="537" t="s">
        <v>108</v>
      </c>
      <c r="N29" s="563">
        <v>72</v>
      </c>
      <c r="O29" s="537" t="s">
        <v>116</v>
      </c>
      <c r="P29" s="537" t="s">
        <v>116</v>
      </c>
      <c r="Q29" s="576" t="s">
        <v>116</v>
      </c>
      <c r="R29" s="538" t="s">
        <v>117</v>
      </c>
      <c r="S29" s="536" t="s">
        <v>108</v>
      </c>
      <c r="T29" s="536" t="s">
        <v>108</v>
      </c>
      <c r="U29" s="538" t="s">
        <v>117</v>
      </c>
      <c r="V29" s="563">
        <v>72</v>
      </c>
      <c r="W29" s="537" t="s">
        <v>108</v>
      </c>
      <c r="X29" s="537" t="s">
        <v>116</v>
      </c>
      <c r="Y29" s="537" t="s">
        <v>116</v>
      </c>
      <c r="Z29" s="537" t="s">
        <v>116</v>
      </c>
      <c r="AA29" s="536" t="s">
        <v>116</v>
      </c>
      <c r="AB29" s="538" t="s">
        <v>117</v>
      </c>
      <c r="AC29" s="536" t="s">
        <v>108</v>
      </c>
      <c r="AD29" s="563">
        <v>72</v>
      </c>
      <c r="AE29" s="537" t="s">
        <v>116</v>
      </c>
      <c r="AF29" s="537" t="s">
        <v>116</v>
      </c>
      <c r="AG29" s="576" t="s">
        <v>116</v>
      </c>
      <c r="AH29" s="538" t="s">
        <v>117</v>
      </c>
      <c r="AI29" s="536" t="s">
        <v>108</v>
      </c>
      <c r="AJ29" s="536" t="s">
        <v>108</v>
      </c>
      <c r="AK29" s="538" t="s">
        <v>117</v>
      </c>
      <c r="AL29" s="564">
        <v>60</v>
      </c>
      <c r="AM29" s="540" t="e">
        <v>#REF!</v>
      </c>
      <c r="AN29" s="541">
        <v>20</v>
      </c>
      <c r="AO29" s="132"/>
      <c r="AP29" s="132"/>
      <c r="AQ29" s="132"/>
      <c r="AR29" s="132"/>
      <c r="AS29" s="132"/>
      <c r="AT29" s="132"/>
      <c r="AU29" s="132"/>
      <c r="AV29" s="132"/>
    </row>
    <row r="30" spans="2:48" ht="16.5">
      <c r="B30" s="340" t="s">
        <v>160</v>
      </c>
      <c r="C30" s="355" t="s">
        <v>145</v>
      </c>
      <c r="D30" s="198">
        <v>20</v>
      </c>
      <c r="E30" s="195" t="s">
        <v>876</v>
      </c>
      <c r="F30" s="195" t="s">
        <v>527</v>
      </c>
      <c r="G30" s="536" t="s">
        <v>108</v>
      </c>
      <c r="H30" s="536" t="s">
        <v>108</v>
      </c>
      <c r="I30" s="536" t="s">
        <v>108</v>
      </c>
      <c r="J30" s="536" t="s">
        <v>108</v>
      </c>
      <c r="K30" s="537" t="s">
        <v>108</v>
      </c>
      <c r="L30" s="537" t="s">
        <v>108</v>
      </c>
      <c r="M30" s="538" t="s">
        <v>117</v>
      </c>
      <c r="N30" s="566">
        <v>72</v>
      </c>
      <c r="O30" s="536" t="s">
        <v>108</v>
      </c>
      <c r="P30" s="536" t="s">
        <v>108</v>
      </c>
      <c r="Q30" s="576" t="s">
        <v>108</v>
      </c>
      <c r="R30" s="536" t="s">
        <v>108</v>
      </c>
      <c r="S30" s="536" t="s">
        <v>108</v>
      </c>
      <c r="T30" s="536" t="s">
        <v>108</v>
      </c>
      <c r="U30" s="538" t="s">
        <v>117</v>
      </c>
      <c r="V30" s="566">
        <v>60</v>
      </c>
      <c r="W30" s="537" t="s">
        <v>108</v>
      </c>
      <c r="X30" s="536" t="s">
        <v>108</v>
      </c>
      <c r="Y30" s="536" t="s">
        <v>108</v>
      </c>
      <c r="Z30" s="536" t="s">
        <v>108</v>
      </c>
      <c r="AA30" s="536" t="s">
        <v>108</v>
      </c>
      <c r="AB30" s="536" t="s">
        <v>108</v>
      </c>
      <c r="AC30" s="538" t="s">
        <v>117</v>
      </c>
      <c r="AD30" s="566">
        <v>60</v>
      </c>
      <c r="AE30" s="536" t="s">
        <v>108</v>
      </c>
      <c r="AF30" s="536" t="s">
        <v>108</v>
      </c>
      <c r="AG30" s="576" t="s">
        <v>108</v>
      </c>
      <c r="AH30" s="536" t="s">
        <v>108</v>
      </c>
      <c r="AI30" s="536" t="s">
        <v>108</v>
      </c>
      <c r="AJ30" s="536" t="s">
        <v>108</v>
      </c>
      <c r="AK30" s="538" t="s">
        <v>117</v>
      </c>
      <c r="AL30" s="564">
        <v>72</v>
      </c>
      <c r="AM30" s="541" t="e">
        <v>#REF!</v>
      </c>
      <c r="AN30" s="541">
        <v>20</v>
      </c>
      <c r="AO30" s="132"/>
      <c r="AP30" s="132"/>
      <c r="AQ30" s="132"/>
      <c r="AR30" s="132"/>
      <c r="AS30" s="132"/>
      <c r="AT30" s="132"/>
      <c r="AU30" s="132"/>
      <c r="AV30" s="132"/>
    </row>
    <row r="31" spans="2:48">
      <c r="B31" s="662" t="s">
        <v>385</v>
      </c>
      <c r="C31" s="674"/>
      <c r="D31" s="198">
        <v>21</v>
      </c>
      <c r="E31" s="195" t="s">
        <v>877</v>
      </c>
      <c r="F31" s="195" t="s">
        <v>821</v>
      </c>
      <c r="G31" s="536" t="s">
        <v>108</v>
      </c>
      <c r="H31" s="537" t="s">
        <v>108</v>
      </c>
      <c r="I31" s="537" t="s">
        <v>116</v>
      </c>
      <c r="J31" s="537" t="s">
        <v>116</v>
      </c>
      <c r="K31" s="537" t="s">
        <v>116</v>
      </c>
      <c r="L31" s="537" t="s">
        <v>116</v>
      </c>
      <c r="M31" s="538" t="s">
        <v>117</v>
      </c>
      <c r="N31" s="566">
        <v>60</v>
      </c>
      <c r="O31" s="536" t="s">
        <v>108</v>
      </c>
      <c r="P31" s="536" t="s">
        <v>108</v>
      </c>
      <c r="Q31" s="576" t="s">
        <v>116</v>
      </c>
      <c r="R31" s="537" t="s">
        <v>116</v>
      </c>
      <c r="S31" s="537" t="s">
        <v>116</v>
      </c>
      <c r="T31" s="538" t="s">
        <v>117</v>
      </c>
      <c r="U31" s="536" t="s">
        <v>108</v>
      </c>
      <c r="V31" s="563">
        <v>72</v>
      </c>
      <c r="W31" s="537" t="s">
        <v>108</v>
      </c>
      <c r="X31" s="536" t="s">
        <v>108</v>
      </c>
      <c r="Y31" s="537" t="s">
        <v>108</v>
      </c>
      <c r="Z31" s="537" t="s">
        <v>108</v>
      </c>
      <c r="AA31" s="537" t="s">
        <v>116</v>
      </c>
      <c r="AB31" s="538" t="s">
        <v>117</v>
      </c>
      <c r="AC31" s="537" t="s">
        <v>108</v>
      </c>
      <c r="AD31" s="563">
        <v>72</v>
      </c>
      <c r="AE31" s="536" t="s">
        <v>108</v>
      </c>
      <c r="AF31" s="536" t="s">
        <v>108</v>
      </c>
      <c r="AG31" s="576" t="s">
        <v>116</v>
      </c>
      <c r="AH31" s="537" t="s">
        <v>116</v>
      </c>
      <c r="AI31" s="537" t="s">
        <v>116</v>
      </c>
      <c r="AJ31" s="538" t="s">
        <v>117</v>
      </c>
      <c r="AK31" s="536" t="s">
        <v>108</v>
      </c>
      <c r="AL31" s="564">
        <v>60</v>
      </c>
      <c r="AM31" s="541" t="e">
        <v>#REF!</v>
      </c>
      <c r="AN31" s="541">
        <v>20</v>
      </c>
      <c r="AO31" s="132"/>
      <c r="AP31" s="132"/>
      <c r="AQ31" s="132"/>
      <c r="AR31" s="132"/>
      <c r="AS31" s="132"/>
      <c r="AT31" s="132"/>
      <c r="AU31" s="132"/>
      <c r="AV31" s="132"/>
    </row>
    <row r="32" spans="2:48">
      <c r="B32" s="662"/>
      <c r="C32" s="674"/>
      <c r="D32" s="198">
        <v>22</v>
      </c>
      <c r="E32" s="195" t="s">
        <v>878</v>
      </c>
      <c r="F32" s="195" t="s">
        <v>529</v>
      </c>
      <c r="G32" s="536" t="s">
        <v>116</v>
      </c>
      <c r="H32" s="538" t="s">
        <v>117</v>
      </c>
      <c r="I32" s="536" t="s">
        <v>108</v>
      </c>
      <c r="J32" s="536" t="s">
        <v>108</v>
      </c>
      <c r="K32" s="537" t="s">
        <v>116</v>
      </c>
      <c r="L32" s="538" t="s">
        <v>117</v>
      </c>
      <c r="M32" s="537" t="s">
        <v>108</v>
      </c>
      <c r="N32" s="566">
        <v>60</v>
      </c>
      <c r="O32" s="536" t="s">
        <v>108</v>
      </c>
      <c r="P32" s="536" t="s">
        <v>108</v>
      </c>
      <c r="Q32" s="576" t="s">
        <v>116</v>
      </c>
      <c r="R32" s="536" t="s">
        <v>116</v>
      </c>
      <c r="S32" s="536" t="s">
        <v>116</v>
      </c>
      <c r="T32" s="538" t="s">
        <v>117</v>
      </c>
      <c r="U32" s="536" t="s">
        <v>116</v>
      </c>
      <c r="V32" s="563">
        <v>72</v>
      </c>
      <c r="W32" s="538" t="s">
        <v>117</v>
      </c>
      <c r="X32" s="537" t="s">
        <v>108</v>
      </c>
      <c r="Y32" s="537" t="s">
        <v>108</v>
      </c>
      <c r="Z32" s="537" t="s">
        <v>108</v>
      </c>
      <c r="AA32" s="537" t="s">
        <v>116</v>
      </c>
      <c r="AB32" s="537" t="s">
        <v>116</v>
      </c>
      <c r="AC32" s="538" t="s">
        <v>117</v>
      </c>
      <c r="AD32" s="563">
        <v>72</v>
      </c>
      <c r="AE32" s="536" t="s">
        <v>108</v>
      </c>
      <c r="AF32" s="536" t="s">
        <v>108</v>
      </c>
      <c r="AG32" s="576" t="s">
        <v>116</v>
      </c>
      <c r="AH32" s="536" t="s">
        <v>116</v>
      </c>
      <c r="AI32" s="536" t="s">
        <v>116</v>
      </c>
      <c r="AJ32" s="538" t="s">
        <v>117</v>
      </c>
      <c r="AK32" s="536" t="s">
        <v>116</v>
      </c>
      <c r="AL32" s="564">
        <v>72</v>
      </c>
      <c r="AM32" s="540" t="e">
        <v>#REF!</v>
      </c>
      <c r="AN32" s="541">
        <v>20</v>
      </c>
      <c r="AO32" s="132"/>
      <c r="AP32" s="132"/>
      <c r="AQ32" s="132"/>
      <c r="AR32" s="132"/>
      <c r="AS32" s="132"/>
      <c r="AT32" s="132"/>
      <c r="AU32" s="132"/>
      <c r="AV32" s="132"/>
    </row>
    <row r="33" spans="1:48">
      <c r="A33" s="23"/>
      <c r="B33" s="353"/>
      <c r="C33" s="353"/>
      <c r="D33" s="321"/>
      <c r="E33" s="580"/>
      <c r="F33" s="580"/>
      <c r="G33" s="581"/>
      <c r="H33" s="582" t="s">
        <v>322</v>
      </c>
      <c r="I33" s="582" t="s">
        <v>149</v>
      </c>
      <c r="J33" s="581"/>
      <c r="K33" s="581"/>
      <c r="L33" s="581"/>
      <c r="M33" s="581"/>
      <c r="N33" s="581"/>
      <c r="O33" s="581"/>
      <c r="P33" s="581"/>
      <c r="Q33" s="527"/>
      <c r="R33" s="582" t="s">
        <v>149</v>
      </c>
      <c r="S33" s="581"/>
      <c r="T33" s="581"/>
      <c r="U33" s="581"/>
      <c r="V33" s="581"/>
      <c r="W33" s="582" t="s">
        <v>149</v>
      </c>
      <c r="X33" s="581"/>
      <c r="Y33" s="581"/>
      <c r="Z33" s="581"/>
      <c r="AA33" s="581"/>
      <c r="AB33" s="581"/>
      <c r="AC33" s="581"/>
      <c r="AD33" s="581"/>
      <c r="AE33" s="581"/>
      <c r="AF33" s="581"/>
      <c r="AG33" s="527"/>
      <c r="AH33" s="582" t="s">
        <v>149</v>
      </c>
      <c r="AI33" s="581"/>
      <c r="AJ33" s="581"/>
      <c r="AK33" s="581"/>
      <c r="AL33" s="527"/>
      <c r="AM33" s="527"/>
      <c r="AN33" s="527"/>
      <c r="AO33" s="132"/>
      <c r="AP33" s="132"/>
      <c r="AQ33" s="132"/>
      <c r="AR33" s="132"/>
      <c r="AS33" s="132"/>
      <c r="AT33" s="132"/>
      <c r="AU33" s="132"/>
      <c r="AV33" s="132"/>
    </row>
    <row r="34" spans="1:48">
      <c r="B34" s="353"/>
      <c r="C34" s="353"/>
      <c r="D34" s="218" t="s">
        <v>132</v>
      </c>
      <c r="E34" s="218" t="s">
        <v>133</v>
      </c>
      <c r="F34" s="218" t="s">
        <v>101</v>
      </c>
      <c r="AO34" s="132"/>
      <c r="AP34" s="132"/>
      <c r="AQ34" s="132"/>
      <c r="AR34" s="132"/>
      <c r="AS34" s="132"/>
      <c r="AT34" s="132"/>
      <c r="AU34" s="132"/>
      <c r="AV34" s="132"/>
    </row>
    <row r="35" spans="1:48">
      <c r="B35" s="353"/>
      <c r="C35" s="353"/>
      <c r="D35" s="319" t="s">
        <v>108</v>
      </c>
      <c r="E35" s="319" t="s">
        <v>146</v>
      </c>
      <c r="F35" s="319" t="s">
        <v>150</v>
      </c>
      <c r="AO35" s="132"/>
      <c r="AP35" s="132"/>
      <c r="AQ35" s="132"/>
      <c r="AR35" s="132"/>
      <c r="AS35" s="132"/>
      <c r="AT35" s="132"/>
      <c r="AU35" s="132"/>
      <c r="AV35" s="132"/>
    </row>
    <row r="36" spans="1:48">
      <c r="B36" s="353"/>
      <c r="C36" s="353"/>
      <c r="D36" s="319" t="s">
        <v>116</v>
      </c>
      <c r="E36" s="319" t="s">
        <v>163</v>
      </c>
      <c r="F36" s="319" t="s">
        <v>150</v>
      </c>
      <c r="AO36" s="132"/>
      <c r="AP36" s="132"/>
      <c r="AQ36" s="132"/>
      <c r="AR36" s="132"/>
      <c r="AS36" s="132"/>
      <c r="AT36" s="132"/>
      <c r="AU36" s="132"/>
      <c r="AV36" s="132"/>
    </row>
    <row r="37" spans="1:48">
      <c r="B37" s="353"/>
      <c r="C37" s="353"/>
      <c r="D37" s="319" t="s">
        <v>117</v>
      </c>
      <c r="E37" s="319" t="s">
        <v>119</v>
      </c>
      <c r="F37" s="322" t="s">
        <v>150</v>
      </c>
      <c r="AO37" s="132"/>
      <c r="AP37" s="132"/>
      <c r="AQ37" s="132"/>
      <c r="AR37" s="132"/>
      <c r="AS37" s="132"/>
      <c r="AT37" s="132"/>
      <c r="AU37" s="132"/>
      <c r="AV37" s="132"/>
    </row>
    <row r="38" spans="1:48">
      <c r="B38" s="353"/>
      <c r="C38" s="353"/>
      <c r="D38" s="40" t="s">
        <v>104</v>
      </c>
      <c r="E38" s="319" t="s">
        <v>383</v>
      </c>
      <c r="F38" s="322" t="s">
        <v>150</v>
      </c>
      <c r="AO38" s="132"/>
      <c r="AP38" s="132"/>
      <c r="AQ38" s="132"/>
      <c r="AR38" s="132"/>
      <c r="AS38" s="132"/>
      <c r="AT38" s="132"/>
      <c r="AU38" s="132"/>
      <c r="AV38" s="132"/>
    </row>
    <row r="39" spans="1:48">
      <c r="B39" s="353"/>
      <c r="C39" s="353"/>
      <c r="D39" s="40" t="s">
        <v>165</v>
      </c>
      <c r="E39" s="319" t="s">
        <v>382</v>
      </c>
      <c r="F39" s="322" t="s">
        <v>150</v>
      </c>
      <c r="AO39" s="132"/>
      <c r="AP39" s="132"/>
      <c r="AQ39" s="132"/>
      <c r="AR39" s="132"/>
      <c r="AS39" s="132"/>
      <c r="AT39" s="132"/>
      <c r="AU39" s="132"/>
      <c r="AV39" s="132"/>
    </row>
    <row r="40" spans="1:48">
      <c r="B40" s="353"/>
      <c r="C40" s="353"/>
      <c r="D40" s="321"/>
      <c r="E40" s="321"/>
      <c r="F40" s="321"/>
      <c r="AO40" s="132"/>
      <c r="AP40" s="132"/>
      <c r="AQ40" s="132"/>
      <c r="AR40" s="132"/>
      <c r="AS40" s="132"/>
      <c r="AT40" s="132"/>
      <c r="AU40" s="132"/>
      <c r="AV40" s="132"/>
    </row>
    <row r="41" spans="1:48" ht="15.75" customHeight="1">
      <c r="B41" s="676" t="s">
        <v>126</v>
      </c>
      <c r="C41" s="676" t="s">
        <v>127</v>
      </c>
      <c r="D41" s="196" t="s">
        <v>101</v>
      </c>
      <c r="E41" s="196" t="s">
        <v>43</v>
      </c>
      <c r="F41" s="196" t="s">
        <v>102</v>
      </c>
      <c r="G41" s="229" t="s">
        <v>103</v>
      </c>
      <c r="H41" s="229" t="s">
        <v>104</v>
      </c>
      <c r="I41" s="229" t="s">
        <v>104</v>
      </c>
      <c r="J41" s="229" t="s">
        <v>105</v>
      </c>
      <c r="K41" s="229" t="s">
        <v>106</v>
      </c>
      <c r="L41" s="229" t="s">
        <v>107</v>
      </c>
      <c r="M41" s="229" t="s">
        <v>108</v>
      </c>
      <c r="N41" s="644" t="s">
        <v>109</v>
      </c>
      <c r="O41" s="230" t="s">
        <v>103</v>
      </c>
      <c r="P41" s="230" t="s">
        <v>104</v>
      </c>
      <c r="Q41" s="230" t="s">
        <v>104</v>
      </c>
      <c r="R41" s="230" t="s">
        <v>105</v>
      </c>
      <c r="S41" s="230" t="s">
        <v>106</v>
      </c>
      <c r="T41" s="230" t="s">
        <v>107</v>
      </c>
      <c r="U41" s="230" t="s">
        <v>108</v>
      </c>
      <c r="V41" s="644" t="s">
        <v>109</v>
      </c>
      <c r="W41" s="231" t="s">
        <v>103</v>
      </c>
      <c r="X41" s="231" t="s">
        <v>104</v>
      </c>
      <c r="Y41" s="231" t="s">
        <v>104</v>
      </c>
      <c r="Z41" s="231" t="s">
        <v>105</v>
      </c>
      <c r="AA41" s="231" t="s">
        <v>106</v>
      </c>
      <c r="AB41" s="231" t="s">
        <v>107</v>
      </c>
      <c r="AC41" s="231" t="s">
        <v>108</v>
      </c>
      <c r="AD41" s="644" t="s">
        <v>109</v>
      </c>
      <c r="AE41" s="227" t="s">
        <v>103</v>
      </c>
      <c r="AF41" s="227" t="s">
        <v>104</v>
      </c>
      <c r="AG41" s="227" t="s">
        <v>104</v>
      </c>
      <c r="AH41" s="228" t="s">
        <v>105</v>
      </c>
      <c r="AI41" s="228" t="s">
        <v>106</v>
      </c>
      <c r="AJ41" s="228" t="s">
        <v>107</v>
      </c>
      <c r="AK41" s="228" t="s">
        <v>108</v>
      </c>
      <c r="AL41" s="644" t="s">
        <v>109</v>
      </c>
      <c r="AM41" s="644" t="s">
        <v>110</v>
      </c>
      <c r="AN41" s="644" t="s">
        <v>111</v>
      </c>
      <c r="AO41" s="132"/>
      <c r="AP41" s="132"/>
      <c r="AQ41" s="132"/>
      <c r="AR41" s="132"/>
      <c r="AS41" s="132"/>
      <c r="AT41" s="132"/>
      <c r="AU41" s="132"/>
      <c r="AV41" s="132"/>
    </row>
    <row r="42" spans="1:48">
      <c r="B42" s="676"/>
      <c r="C42" s="676"/>
      <c r="D42" s="196" t="s">
        <v>112</v>
      </c>
      <c r="E42" s="196" t="s">
        <v>845</v>
      </c>
      <c r="F42" s="196" t="s">
        <v>113</v>
      </c>
      <c r="G42" s="645">
        <v>7</v>
      </c>
      <c r="H42" s="645">
        <v>8</v>
      </c>
      <c r="I42" s="645">
        <v>9</v>
      </c>
      <c r="J42" s="645">
        <v>10</v>
      </c>
      <c r="K42" s="645">
        <v>11</v>
      </c>
      <c r="L42" s="645">
        <v>12</v>
      </c>
      <c r="M42" s="645">
        <v>13</v>
      </c>
      <c r="N42" s="644"/>
      <c r="O42" s="645">
        <v>14</v>
      </c>
      <c r="P42" s="645">
        <v>15</v>
      </c>
      <c r="Q42" s="645">
        <v>16</v>
      </c>
      <c r="R42" s="645">
        <v>17</v>
      </c>
      <c r="S42" s="645">
        <v>18</v>
      </c>
      <c r="T42" s="645">
        <v>19</v>
      </c>
      <c r="U42" s="645">
        <v>20</v>
      </c>
      <c r="V42" s="644"/>
      <c r="W42" s="645">
        <v>21</v>
      </c>
      <c r="X42" s="645">
        <v>22</v>
      </c>
      <c r="Y42" s="645">
        <v>23</v>
      </c>
      <c r="Z42" s="645">
        <v>24</v>
      </c>
      <c r="AA42" s="645">
        <v>25</v>
      </c>
      <c r="AB42" s="645">
        <v>26</v>
      </c>
      <c r="AC42" s="645">
        <v>27</v>
      </c>
      <c r="AD42" s="644"/>
      <c r="AE42" s="645">
        <v>28</v>
      </c>
      <c r="AF42" s="645">
        <v>29</v>
      </c>
      <c r="AG42" s="645">
        <v>30</v>
      </c>
      <c r="AH42" s="645">
        <v>1</v>
      </c>
      <c r="AI42" s="645">
        <v>2</v>
      </c>
      <c r="AJ42" s="645">
        <v>3</v>
      </c>
      <c r="AK42" s="645">
        <v>4</v>
      </c>
      <c r="AL42" s="644"/>
      <c r="AM42" s="644"/>
      <c r="AN42" s="644"/>
      <c r="AO42" s="132"/>
      <c r="AP42" s="132"/>
      <c r="AQ42" s="132"/>
      <c r="AR42" s="132"/>
      <c r="AS42" s="132"/>
      <c r="AT42" s="132"/>
      <c r="AU42" s="132"/>
      <c r="AV42" s="132"/>
    </row>
    <row r="43" spans="1:48" ht="15" customHeight="1">
      <c r="B43" s="676"/>
      <c r="C43" s="676"/>
      <c r="D43" s="325" t="s">
        <v>42</v>
      </c>
      <c r="E43" s="218" t="s">
        <v>114</v>
      </c>
      <c r="F43" s="218" t="s">
        <v>115</v>
      </c>
      <c r="G43" s="645"/>
      <c r="H43" s="645"/>
      <c r="I43" s="645"/>
      <c r="J43" s="645"/>
      <c r="K43" s="645"/>
      <c r="L43" s="645"/>
      <c r="M43" s="645"/>
      <c r="N43" s="644"/>
      <c r="O43" s="645"/>
      <c r="P43" s="645"/>
      <c r="Q43" s="645"/>
      <c r="R43" s="645"/>
      <c r="S43" s="645"/>
      <c r="T43" s="645"/>
      <c r="U43" s="645"/>
      <c r="V43" s="644"/>
      <c r="W43" s="645"/>
      <c r="X43" s="645"/>
      <c r="Y43" s="645"/>
      <c r="Z43" s="645"/>
      <c r="AA43" s="645"/>
      <c r="AB43" s="645"/>
      <c r="AC43" s="645"/>
      <c r="AD43" s="644"/>
      <c r="AE43" s="645"/>
      <c r="AF43" s="645"/>
      <c r="AG43" s="645"/>
      <c r="AH43" s="645"/>
      <c r="AI43" s="645"/>
      <c r="AJ43" s="645"/>
      <c r="AK43" s="645"/>
      <c r="AL43" s="644"/>
      <c r="AM43" s="644"/>
      <c r="AN43" s="644"/>
      <c r="AO43" s="132"/>
      <c r="AP43" s="132"/>
      <c r="AQ43" s="132"/>
      <c r="AR43" s="132"/>
      <c r="AS43" s="132"/>
      <c r="AT43" s="132"/>
      <c r="AU43" s="132"/>
      <c r="AV43" s="132"/>
    </row>
    <row r="44" spans="1:48">
      <c r="B44" s="662" t="s">
        <v>169</v>
      </c>
      <c r="C44" s="662" t="s">
        <v>170</v>
      </c>
      <c r="D44" s="198">
        <v>1</v>
      </c>
      <c r="E44" s="194" t="s">
        <v>530</v>
      </c>
      <c r="F44" s="194" t="s">
        <v>531</v>
      </c>
      <c r="G44" s="35" t="s">
        <v>117</v>
      </c>
      <c r="H44" s="178" t="s">
        <v>116</v>
      </c>
      <c r="I44" s="322" t="s">
        <v>116</v>
      </c>
      <c r="J44" s="322" t="s">
        <v>116</v>
      </c>
      <c r="K44" s="322" t="s">
        <v>116</v>
      </c>
      <c r="L44" s="322" t="s">
        <v>116</v>
      </c>
      <c r="M44" s="322" t="s">
        <v>116</v>
      </c>
      <c r="N44" s="425">
        <v>72</v>
      </c>
      <c r="O44" s="35" t="s">
        <v>117</v>
      </c>
      <c r="P44" s="35" t="s">
        <v>117</v>
      </c>
      <c r="Q44" s="322" t="s">
        <v>116</v>
      </c>
      <c r="R44" s="322" t="s">
        <v>116</v>
      </c>
      <c r="S44" s="322" t="s">
        <v>116</v>
      </c>
      <c r="T44" s="322" t="s">
        <v>116</v>
      </c>
      <c r="U44" s="322" t="s">
        <v>116</v>
      </c>
      <c r="V44" s="425">
        <v>60</v>
      </c>
      <c r="W44" s="323" t="s">
        <v>117</v>
      </c>
      <c r="X44" s="323" t="s">
        <v>117</v>
      </c>
      <c r="Y44" s="322" t="s">
        <v>116</v>
      </c>
      <c r="Z44" s="322" t="s">
        <v>116</v>
      </c>
      <c r="AA44" s="322" t="s">
        <v>116</v>
      </c>
      <c r="AB44" s="322" t="s">
        <v>116</v>
      </c>
      <c r="AC44" s="322" t="s">
        <v>116</v>
      </c>
      <c r="AD44" s="425">
        <v>60</v>
      </c>
      <c r="AE44" s="323" t="s">
        <v>117</v>
      </c>
      <c r="AF44" s="323" t="s">
        <v>117</v>
      </c>
      <c r="AG44" s="322" t="s">
        <v>116</v>
      </c>
      <c r="AH44" s="322" t="s">
        <v>116</v>
      </c>
      <c r="AI44" s="322" t="s">
        <v>116</v>
      </c>
      <c r="AJ44" s="322" t="s">
        <v>116</v>
      </c>
      <c r="AK44" s="322" t="s">
        <v>116</v>
      </c>
      <c r="AL44" s="425">
        <f>12*5</f>
        <v>60</v>
      </c>
      <c r="AM44" s="340">
        <f>72+60+72+60</f>
        <v>264</v>
      </c>
      <c r="AN44" s="340">
        <v>24</v>
      </c>
      <c r="AO44" s="132"/>
      <c r="AP44" s="132"/>
      <c r="AQ44" s="132"/>
      <c r="AR44" s="132"/>
      <c r="AS44" s="132"/>
      <c r="AT44" s="132"/>
      <c r="AU44" s="132"/>
      <c r="AV44" s="132"/>
    </row>
    <row r="45" spans="1:48">
      <c r="B45" s="662"/>
      <c r="C45" s="662"/>
      <c r="D45" s="198">
        <v>2</v>
      </c>
      <c r="E45" s="194" t="s">
        <v>532</v>
      </c>
      <c r="F45" s="194" t="s">
        <v>171</v>
      </c>
      <c r="G45" s="11" t="s">
        <v>108</v>
      </c>
      <c r="H45" s="11" t="s">
        <v>108</v>
      </c>
      <c r="I45" s="11" t="s">
        <v>108</v>
      </c>
      <c r="J45" s="11" t="s">
        <v>108</v>
      </c>
      <c r="K45" s="11" t="s">
        <v>108</v>
      </c>
      <c r="L45" s="35" t="s">
        <v>117</v>
      </c>
      <c r="M45" s="35" t="s">
        <v>117</v>
      </c>
      <c r="N45" s="425">
        <f t="shared" ref="N45:N46" si="0">12*5</f>
        <v>60</v>
      </c>
      <c r="O45" s="11" t="s">
        <v>108</v>
      </c>
      <c r="P45" s="11" t="s">
        <v>108</v>
      </c>
      <c r="Q45" s="11" t="s">
        <v>108</v>
      </c>
      <c r="R45" s="11" t="s">
        <v>108</v>
      </c>
      <c r="S45" s="11" t="s">
        <v>108</v>
      </c>
      <c r="T45" s="35" t="s">
        <v>117</v>
      </c>
      <c r="U45" s="35" t="s">
        <v>117</v>
      </c>
      <c r="V45" s="425">
        <f t="shared" ref="V45:V46" si="1">12*5</f>
        <v>60</v>
      </c>
      <c r="W45" s="11" t="s">
        <v>108</v>
      </c>
      <c r="X45" s="11" t="s">
        <v>108</v>
      </c>
      <c r="Y45" s="11" t="s">
        <v>108</v>
      </c>
      <c r="Z45" s="11" t="s">
        <v>108</v>
      </c>
      <c r="AA45" s="11" t="s">
        <v>108</v>
      </c>
      <c r="AB45" s="12" t="s">
        <v>117</v>
      </c>
      <c r="AC45" s="12" t="s">
        <v>117</v>
      </c>
      <c r="AD45" s="425">
        <f t="shared" ref="AD45:AD46" si="2">12*5</f>
        <v>60</v>
      </c>
      <c r="AE45" s="11" t="s">
        <v>108</v>
      </c>
      <c r="AF45" s="11" t="s">
        <v>108</v>
      </c>
      <c r="AG45" s="11" t="s">
        <v>108</v>
      </c>
      <c r="AH45" s="11" t="s">
        <v>108</v>
      </c>
      <c r="AI45" s="11" t="s">
        <v>108</v>
      </c>
      <c r="AJ45" s="12" t="s">
        <v>117</v>
      </c>
      <c r="AK45" s="12" t="s">
        <v>117</v>
      </c>
      <c r="AL45" s="425">
        <f t="shared" ref="AL45:AL46" si="3">12*5</f>
        <v>60</v>
      </c>
      <c r="AM45" s="340">
        <f>60+60+60+60</f>
        <v>240</v>
      </c>
      <c r="AN45" s="340">
        <v>24</v>
      </c>
      <c r="AO45" s="132"/>
      <c r="AP45" s="132"/>
      <c r="AQ45" s="132"/>
      <c r="AR45" s="132"/>
      <c r="AS45" s="132"/>
      <c r="AT45" s="132"/>
      <c r="AU45" s="132"/>
      <c r="AV45" s="132"/>
    </row>
    <row r="46" spans="1:48">
      <c r="B46" s="662"/>
      <c r="C46" s="662"/>
      <c r="D46" s="198">
        <v>3</v>
      </c>
      <c r="E46" s="194" t="s">
        <v>533</v>
      </c>
      <c r="F46" s="194" t="s">
        <v>534</v>
      </c>
      <c r="G46" s="11" t="s">
        <v>116</v>
      </c>
      <c r="H46" s="322" t="s">
        <v>116</v>
      </c>
      <c r="I46" s="35" t="s">
        <v>117</v>
      </c>
      <c r="J46" s="35" t="s">
        <v>117</v>
      </c>
      <c r="K46" s="127" t="s">
        <v>108</v>
      </c>
      <c r="L46" s="322" t="s">
        <v>108</v>
      </c>
      <c r="M46" s="11" t="s">
        <v>108</v>
      </c>
      <c r="N46" s="425">
        <f t="shared" si="0"/>
        <v>60</v>
      </c>
      <c r="O46" s="11" t="s">
        <v>116</v>
      </c>
      <c r="P46" s="322" t="s">
        <v>116</v>
      </c>
      <c r="Q46" s="35" t="s">
        <v>117</v>
      </c>
      <c r="R46" s="35" t="s">
        <v>117</v>
      </c>
      <c r="S46" s="127" t="s">
        <v>108</v>
      </c>
      <c r="T46" s="322" t="s">
        <v>108</v>
      </c>
      <c r="U46" s="11" t="s">
        <v>108</v>
      </c>
      <c r="V46" s="425">
        <f t="shared" si="1"/>
        <v>60</v>
      </c>
      <c r="W46" s="11" t="s">
        <v>116</v>
      </c>
      <c r="X46" s="322" t="s">
        <v>116</v>
      </c>
      <c r="Y46" s="323" t="s">
        <v>117</v>
      </c>
      <c r="Z46" s="323" t="s">
        <v>117</v>
      </c>
      <c r="AA46" s="127" t="s">
        <v>108</v>
      </c>
      <c r="AB46" s="322" t="s">
        <v>108</v>
      </c>
      <c r="AC46" s="11" t="s">
        <v>108</v>
      </c>
      <c r="AD46" s="425">
        <f t="shared" si="2"/>
        <v>60</v>
      </c>
      <c r="AE46" s="11" t="s">
        <v>116</v>
      </c>
      <c r="AF46" s="322" t="s">
        <v>116</v>
      </c>
      <c r="AG46" s="323" t="s">
        <v>117</v>
      </c>
      <c r="AH46" s="323" t="s">
        <v>117</v>
      </c>
      <c r="AI46" s="127" t="s">
        <v>108</v>
      </c>
      <c r="AJ46" s="322" t="s">
        <v>108</v>
      </c>
      <c r="AK46" s="11" t="s">
        <v>108</v>
      </c>
      <c r="AL46" s="425">
        <f t="shared" si="3"/>
        <v>60</v>
      </c>
      <c r="AM46" s="340">
        <v>240</v>
      </c>
      <c r="AN46" s="340">
        <v>20</v>
      </c>
      <c r="AO46" s="132"/>
      <c r="AP46" s="132"/>
      <c r="AQ46" s="132"/>
      <c r="AR46" s="132"/>
      <c r="AS46" s="132"/>
      <c r="AT46" s="132"/>
      <c r="AU46" s="132"/>
      <c r="AV46" s="132"/>
    </row>
    <row r="47" spans="1:48">
      <c r="B47" s="337" t="s">
        <v>172</v>
      </c>
      <c r="C47" s="337" t="s">
        <v>173</v>
      </c>
      <c r="D47" s="198">
        <v>4</v>
      </c>
      <c r="E47" s="194" t="s">
        <v>886</v>
      </c>
      <c r="F47" s="194" t="s">
        <v>668</v>
      </c>
      <c r="G47" s="233" t="s">
        <v>162</v>
      </c>
      <c r="H47" s="233" t="s">
        <v>162</v>
      </c>
      <c r="I47" s="233" t="s">
        <v>162</v>
      </c>
      <c r="J47" s="326" t="s">
        <v>162</v>
      </c>
      <c r="K47" s="233" t="s">
        <v>162</v>
      </c>
      <c r="L47" s="35" t="s">
        <v>117</v>
      </c>
      <c r="M47" s="35" t="s">
        <v>117</v>
      </c>
      <c r="N47" s="425">
        <v>50</v>
      </c>
      <c r="O47" s="233" t="s">
        <v>162</v>
      </c>
      <c r="P47" s="233" t="s">
        <v>162</v>
      </c>
      <c r="Q47" s="233" t="s">
        <v>162</v>
      </c>
      <c r="R47" s="326" t="s">
        <v>162</v>
      </c>
      <c r="S47" s="326" t="s">
        <v>162</v>
      </c>
      <c r="T47" s="35" t="s">
        <v>117</v>
      </c>
      <c r="U47" s="35" t="s">
        <v>117</v>
      </c>
      <c r="V47" s="425">
        <v>50</v>
      </c>
      <c r="W47" s="233" t="s">
        <v>162</v>
      </c>
      <c r="X47" s="233" t="s">
        <v>162</v>
      </c>
      <c r="Y47" s="233" t="s">
        <v>162</v>
      </c>
      <c r="Z47" s="326" t="s">
        <v>162</v>
      </c>
      <c r="AA47" s="326" t="s">
        <v>162</v>
      </c>
      <c r="AB47" s="323" t="s">
        <v>117</v>
      </c>
      <c r="AC47" s="323" t="s">
        <v>117</v>
      </c>
      <c r="AD47" s="425">
        <v>50</v>
      </c>
      <c r="AE47" s="233" t="s">
        <v>162</v>
      </c>
      <c r="AF47" s="233" t="s">
        <v>162</v>
      </c>
      <c r="AG47" s="233" t="s">
        <v>162</v>
      </c>
      <c r="AH47" s="326" t="s">
        <v>162</v>
      </c>
      <c r="AI47" s="326" t="s">
        <v>162</v>
      </c>
      <c r="AJ47" s="323" t="s">
        <v>117</v>
      </c>
      <c r="AK47" s="323" t="s">
        <v>117</v>
      </c>
      <c r="AL47" s="425">
        <v>50</v>
      </c>
      <c r="AM47" s="340">
        <v>232</v>
      </c>
      <c r="AN47" s="340">
        <v>24</v>
      </c>
      <c r="AO47" s="132"/>
      <c r="AP47" s="132"/>
      <c r="AQ47" s="132"/>
      <c r="AR47" s="132"/>
      <c r="AS47" s="132"/>
      <c r="AT47" s="132"/>
      <c r="AU47" s="132"/>
      <c r="AV47" s="132"/>
    </row>
    <row r="48" spans="1:48" ht="18.75" customHeight="1">
      <c r="A48" s="321"/>
      <c r="B48" s="321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  <c r="X48" s="321"/>
      <c r="Y48" s="321"/>
      <c r="Z48" s="321"/>
      <c r="AA48" s="321"/>
      <c r="AB48" s="321"/>
      <c r="AC48" s="321"/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  <c r="AN48" s="321"/>
      <c r="AO48" s="321"/>
      <c r="AP48" s="132"/>
      <c r="AQ48" s="132"/>
      <c r="AR48" s="132"/>
      <c r="AS48" s="132"/>
      <c r="AT48" s="132"/>
      <c r="AU48" s="132"/>
      <c r="AV48" s="132"/>
    </row>
    <row r="49" spans="2:48" ht="15.75" customHeight="1">
      <c r="B49" s="676" t="s">
        <v>126</v>
      </c>
      <c r="C49" s="676" t="s">
        <v>127</v>
      </c>
      <c r="D49" s="196" t="s">
        <v>101</v>
      </c>
      <c r="E49" s="196" t="s">
        <v>166</v>
      </c>
      <c r="F49" s="196" t="s">
        <v>102</v>
      </c>
      <c r="G49" s="229" t="s">
        <v>103</v>
      </c>
      <c r="H49" s="229" t="s">
        <v>104</v>
      </c>
      <c r="I49" s="229" t="s">
        <v>104</v>
      </c>
      <c r="J49" s="229" t="s">
        <v>105</v>
      </c>
      <c r="K49" s="229" t="s">
        <v>106</v>
      </c>
      <c r="L49" s="229" t="s">
        <v>107</v>
      </c>
      <c r="M49" s="229" t="s">
        <v>108</v>
      </c>
      <c r="N49" s="644" t="s">
        <v>109</v>
      </c>
      <c r="O49" s="230" t="s">
        <v>103</v>
      </c>
      <c r="P49" s="230" t="s">
        <v>104</v>
      </c>
      <c r="Q49" s="230" t="s">
        <v>104</v>
      </c>
      <c r="R49" s="230" t="s">
        <v>105</v>
      </c>
      <c r="S49" s="230" t="s">
        <v>106</v>
      </c>
      <c r="T49" s="230" t="s">
        <v>107</v>
      </c>
      <c r="U49" s="230" t="s">
        <v>108</v>
      </c>
      <c r="V49" s="644" t="s">
        <v>109</v>
      </c>
      <c r="W49" s="231" t="s">
        <v>103</v>
      </c>
      <c r="X49" s="231" t="s">
        <v>104</v>
      </c>
      <c r="Y49" s="231" t="s">
        <v>104</v>
      </c>
      <c r="Z49" s="231" t="s">
        <v>105</v>
      </c>
      <c r="AA49" s="231" t="s">
        <v>106</v>
      </c>
      <c r="AB49" s="231" t="s">
        <v>107</v>
      </c>
      <c r="AC49" s="231" t="s">
        <v>108</v>
      </c>
      <c r="AD49" s="644" t="s">
        <v>109</v>
      </c>
      <c r="AE49" s="227" t="s">
        <v>103</v>
      </c>
      <c r="AF49" s="227" t="s">
        <v>104</v>
      </c>
      <c r="AG49" s="227" t="s">
        <v>104</v>
      </c>
      <c r="AH49" s="228" t="s">
        <v>105</v>
      </c>
      <c r="AI49" s="228" t="s">
        <v>106</v>
      </c>
      <c r="AJ49" s="228" t="s">
        <v>107</v>
      </c>
      <c r="AK49" s="228" t="s">
        <v>108</v>
      </c>
      <c r="AL49" s="644" t="s">
        <v>109</v>
      </c>
      <c r="AM49" s="644" t="s">
        <v>110</v>
      </c>
      <c r="AN49" s="644" t="s">
        <v>111</v>
      </c>
      <c r="AO49" s="132"/>
      <c r="AP49" s="132"/>
      <c r="AQ49" s="132"/>
      <c r="AR49" s="132"/>
      <c r="AS49" s="132"/>
      <c r="AT49" s="132"/>
      <c r="AU49" s="132"/>
      <c r="AV49" s="132"/>
    </row>
    <row r="50" spans="2:48">
      <c r="B50" s="676"/>
      <c r="C50" s="676"/>
      <c r="D50" s="196" t="s">
        <v>112</v>
      </c>
      <c r="E50" s="196" t="s">
        <v>845</v>
      </c>
      <c r="F50" s="196" t="s">
        <v>113</v>
      </c>
      <c r="G50" s="645">
        <v>7</v>
      </c>
      <c r="H50" s="645">
        <v>8</v>
      </c>
      <c r="I50" s="645">
        <v>9</v>
      </c>
      <c r="J50" s="645">
        <v>10</v>
      </c>
      <c r="K50" s="645">
        <v>11</v>
      </c>
      <c r="L50" s="645">
        <v>12</v>
      </c>
      <c r="M50" s="645">
        <v>13</v>
      </c>
      <c r="N50" s="644"/>
      <c r="O50" s="645">
        <v>14</v>
      </c>
      <c r="P50" s="645">
        <v>15</v>
      </c>
      <c r="Q50" s="645">
        <v>16</v>
      </c>
      <c r="R50" s="645">
        <v>17</v>
      </c>
      <c r="S50" s="645">
        <v>18</v>
      </c>
      <c r="T50" s="645">
        <v>19</v>
      </c>
      <c r="U50" s="645">
        <v>20</v>
      </c>
      <c r="V50" s="644"/>
      <c r="W50" s="645">
        <v>21</v>
      </c>
      <c r="X50" s="645">
        <v>22</v>
      </c>
      <c r="Y50" s="645">
        <v>23</v>
      </c>
      <c r="Z50" s="645">
        <v>24</v>
      </c>
      <c r="AA50" s="645">
        <v>25</v>
      </c>
      <c r="AB50" s="645">
        <v>26</v>
      </c>
      <c r="AC50" s="645">
        <v>27</v>
      </c>
      <c r="AD50" s="644"/>
      <c r="AE50" s="645">
        <v>28</v>
      </c>
      <c r="AF50" s="645">
        <v>29</v>
      </c>
      <c r="AG50" s="645">
        <v>30</v>
      </c>
      <c r="AH50" s="645">
        <v>1</v>
      </c>
      <c r="AI50" s="645">
        <v>2</v>
      </c>
      <c r="AJ50" s="645">
        <v>3</v>
      </c>
      <c r="AK50" s="645">
        <v>4</v>
      </c>
      <c r="AL50" s="644"/>
      <c r="AM50" s="644"/>
      <c r="AN50" s="644"/>
      <c r="AO50" s="132"/>
      <c r="AP50" s="132"/>
      <c r="AQ50" s="132"/>
      <c r="AR50" s="132"/>
      <c r="AS50" s="132"/>
      <c r="AT50" s="132"/>
      <c r="AU50" s="132"/>
      <c r="AV50" s="132"/>
    </row>
    <row r="51" spans="2:48" ht="18" customHeight="1">
      <c r="B51" s="676"/>
      <c r="C51" s="676"/>
      <c r="D51" s="325" t="s">
        <v>42</v>
      </c>
      <c r="E51" s="218" t="s">
        <v>114</v>
      </c>
      <c r="F51" s="218" t="s">
        <v>115</v>
      </c>
      <c r="G51" s="645"/>
      <c r="H51" s="645"/>
      <c r="I51" s="645"/>
      <c r="J51" s="645"/>
      <c r="K51" s="645"/>
      <c r="L51" s="645"/>
      <c r="M51" s="645"/>
      <c r="N51" s="644"/>
      <c r="O51" s="645"/>
      <c r="P51" s="645"/>
      <c r="Q51" s="645"/>
      <c r="R51" s="645"/>
      <c r="S51" s="645"/>
      <c r="T51" s="645"/>
      <c r="U51" s="645"/>
      <c r="V51" s="644"/>
      <c r="W51" s="645"/>
      <c r="X51" s="645"/>
      <c r="Y51" s="645"/>
      <c r="Z51" s="645"/>
      <c r="AA51" s="645"/>
      <c r="AB51" s="645"/>
      <c r="AC51" s="645"/>
      <c r="AD51" s="644"/>
      <c r="AE51" s="645"/>
      <c r="AF51" s="645"/>
      <c r="AG51" s="645"/>
      <c r="AH51" s="645"/>
      <c r="AI51" s="645"/>
      <c r="AJ51" s="645"/>
      <c r="AK51" s="645"/>
      <c r="AL51" s="644"/>
      <c r="AM51" s="644"/>
      <c r="AN51" s="644"/>
      <c r="AO51" s="132"/>
      <c r="AP51" s="132"/>
      <c r="AQ51" s="132"/>
      <c r="AR51" s="132"/>
      <c r="AS51" s="132"/>
      <c r="AT51" s="132"/>
      <c r="AU51" s="132"/>
      <c r="AV51" s="132"/>
    </row>
    <row r="52" spans="2:48" ht="16.5">
      <c r="B52" s="337" t="s">
        <v>167</v>
      </c>
      <c r="C52" s="355" t="s">
        <v>168</v>
      </c>
      <c r="D52" s="198">
        <v>1</v>
      </c>
      <c r="E52" s="194" t="s">
        <v>537</v>
      </c>
      <c r="F52" s="194" t="s">
        <v>538</v>
      </c>
      <c r="G52" s="11" t="s">
        <v>108</v>
      </c>
      <c r="H52" s="11" t="s">
        <v>108</v>
      </c>
      <c r="I52" s="11" t="s">
        <v>108</v>
      </c>
      <c r="J52" s="11" t="s">
        <v>108</v>
      </c>
      <c r="K52" s="515" t="s">
        <v>117</v>
      </c>
      <c r="L52" s="11" t="s">
        <v>108</v>
      </c>
      <c r="M52" s="11" t="s">
        <v>108</v>
      </c>
      <c r="N52" s="425">
        <v>72</v>
      </c>
      <c r="O52" s="11" t="s">
        <v>108</v>
      </c>
      <c r="P52" s="11" t="s">
        <v>108</v>
      </c>
      <c r="Q52" s="11" t="s">
        <v>108</v>
      </c>
      <c r="R52" s="11" t="s">
        <v>108</v>
      </c>
      <c r="S52" s="323" t="s">
        <v>117</v>
      </c>
      <c r="T52" s="11" t="s">
        <v>108</v>
      </c>
      <c r="U52" s="11" t="s">
        <v>108</v>
      </c>
      <c r="V52" s="425">
        <v>72</v>
      </c>
      <c r="W52" s="11" t="s">
        <v>108</v>
      </c>
      <c r="X52" s="11" t="s">
        <v>108</v>
      </c>
      <c r="Y52" s="11" t="s">
        <v>108</v>
      </c>
      <c r="Z52" s="11" t="s">
        <v>108</v>
      </c>
      <c r="AA52" s="323" t="s">
        <v>117</v>
      </c>
      <c r="AB52" s="11" t="s">
        <v>108</v>
      </c>
      <c r="AC52" s="11" t="s">
        <v>108</v>
      </c>
      <c r="AD52" s="425">
        <v>72</v>
      </c>
      <c r="AE52" s="11" t="s">
        <v>108</v>
      </c>
      <c r="AF52" s="11" t="s">
        <v>108</v>
      </c>
      <c r="AG52" s="11" t="s">
        <v>108</v>
      </c>
      <c r="AH52" s="11" t="s">
        <v>108</v>
      </c>
      <c r="AI52" s="323" t="s">
        <v>117</v>
      </c>
      <c r="AJ52" s="11" t="s">
        <v>108</v>
      </c>
      <c r="AK52" s="11" t="s">
        <v>108</v>
      </c>
      <c r="AL52" s="425">
        <v>72</v>
      </c>
      <c r="AM52" s="340">
        <f>72*4</f>
        <v>288</v>
      </c>
      <c r="AN52" s="340">
        <v>24</v>
      </c>
      <c r="AO52" s="132"/>
      <c r="AP52" s="132"/>
      <c r="AQ52" s="132"/>
      <c r="AR52" s="132"/>
      <c r="AS52" s="132"/>
      <c r="AT52" s="132"/>
      <c r="AU52" s="132"/>
      <c r="AV52" s="132"/>
    </row>
    <row r="53" spans="2:48">
      <c r="C53" s="321"/>
      <c r="D53" s="321"/>
      <c r="E53" s="321"/>
      <c r="F53" s="321"/>
    </row>
    <row r="54" spans="2:48">
      <c r="C54" s="321"/>
      <c r="D54" s="218" t="s">
        <v>132</v>
      </c>
      <c r="E54" s="218" t="s">
        <v>133</v>
      </c>
      <c r="F54" s="218" t="s">
        <v>101</v>
      </c>
    </row>
    <row r="55" spans="2:48">
      <c r="C55" s="321"/>
      <c r="D55" s="319" t="s">
        <v>108</v>
      </c>
      <c r="E55" s="319" t="s">
        <v>377</v>
      </c>
      <c r="F55" s="319" t="s">
        <v>378</v>
      </c>
    </row>
    <row r="56" spans="2:48">
      <c r="C56" s="321"/>
      <c r="D56" s="319" t="s">
        <v>116</v>
      </c>
      <c r="E56" s="319" t="s">
        <v>376</v>
      </c>
      <c r="F56" s="319" t="s">
        <v>322</v>
      </c>
    </row>
    <row r="57" spans="2:48">
      <c r="C57" s="321"/>
      <c r="D57" s="319" t="s">
        <v>117</v>
      </c>
      <c r="E57" s="319" t="s">
        <v>119</v>
      </c>
      <c r="F57" s="319" t="s">
        <v>378</v>
      </c>
    </row>
    <row r="58" spans="2:48">
      <c r="C58" s="321"/>
      <c r="D58" s="40" t="s">
        <v>162</v>
      </c>
      <c r="E58" s="319" t="s">
        <v>375</v>
      </c>
      <c r="F58" s="319" t="s">
        <v>322</v>
      </c>
    </row>
    <row r="59" spans="2:48">
      <c r="C59" s="321"/>
      <c r="D59" s="321"/>
      <c r="E59" s="321"/>
      <c r="F59" s="321"/>
    </row>
    <row r="60" spans="2:48">
      <c r="C60" s="321"/>
      <c r="D60" s="321"/>
      <c r="E60" s="321"/>
      <c r="F60" s="321"/>
      <c r="AP60" s="132"/>
      <c r="AQ60" s="132"/>
      <c r="AR60" s="132"/>
      <c r="AS60" s="132"/>
      <c r="AT60" s="132"/>
      <c r="AU60" s="132"/>
      <c r="AV60" s="132"/>
    </row>
    <row r="61" spans="2:48">
      <c r="C61" s="321"/>
      <c r="D61" s="321"/>
      <c r="E61" s="321"/>
      <c r="F61" s="321"/>
      <c r="AP61" s="132"/>
      <c r="AQ61" s="132"/>
      <c r="AR61" s="132"/>
      <c r="AS61" s="132"/>
      <c r="AT61" s="132"/>
      <c r="AU61" s="132"/>
      <c r="AV61" s="132"/>
    </row>
    <row r="62" spans="2:48">
      <c r="C62" s="321"/>
      <c r="D62" s="321"/>
      <c r="E62" s="321"/>
      <c r="F62" s="321"/>
      <c r="AP62" s="132"/>
      <c r="AQ62" s="132"/>
      <c r="AR62" s="132"/>
      <c r="AS62" s="132"/>
      <c r="AT62" s="132"/>
      <c r="AU62" s="132"/>
      <c r="AV62" s="132"/>
    </row>
    <row r="63" spans="2:48">
      <c r="C63" s="321"/>
      <c r="D63" s="321"/>
      <c r="E63" s="321"/>
      <c r="F63" s="321"/>
      <c r="AP63" s="132"/>
      <c r="AQ63" s="132"/>
      <c r="AR63" s="132"/>
      <c r="AS63" s="132"/>
      <c r="AT63" s="132"/>
      <c r="AU63" s="132"/>
      <c r="AV63" s="132"/>
    </row>
    <row r="64" spans="2:48">
      <c r="C64" s="321"/>
      <c r="D64" s="321"/>
      <c r="E64" s="321"/>
      <c r="F64" s="321"/>
      <c r="AP64" s="132"/>
      <c r="AQ64" s="132"/>
      <c r="AR64" s="132"/>
      <c r="AS64" s="132"/>
      <c r="AT64" s="132"/>
      <c r="AU64" s="132"/>
      <c r="AV64" s="132"/>
    </row>
    <row r="65" spans="3:48">
      <c r="C65" s="321"/>
      <c r="D65" s="321"/>
      <c r="E65" s="321"/>
      <c r="F65" s="321"/>
      <c r="AP65" s="132"/>
      <c r="AQ65" s="132"/>
      <c r="AR65" s="132"/>
      <c r="AS65" s="132"/>
      <c r="AT65" s="132"/>
      <c r="AU65" s="132"/>
      <c r="AV65" s="132"/>
    </row>
    <row r="66" spans="3:48">
      <c r="C66" s="321"/>
      <c r="D66" s="321"/>
      <c r="E66" s="321"/>
      <c r="F66" s="321"/>
      <c r="AP66" s="132"/>
      <c r="AQ66" s="132"/>
      <c r="AR66" s="132"/>
      <c r="AS66" s="132"/>
      <c r="AT66" s="132"/>
      <c r="AU66" s="132"/>
      <c r="AV66" s="132"/>
    </row>
    <row r="67" spans="3:48">
      <c r="C67" s="321"/>
      <c r="D67" s="321"/>
      <c r="E67" s="321"/>
      <c r="F67" s="321"/>
      <c r="AP67" s="132"/>
      <c r="AQ67" s="132"/>
      <c r="AR67" s="132"/>
      <c r="AS67" s="132"/>
      <c r="AT67" s="132"/>
      <c r="AU67" s="132"/>
      <c r="AV67" s="132"/>
    </row>
    <row r="68" spans="3:48">
      <c r="C68" s="321"/>
      <c r="D68" s="321"/>
      <c r="E68" s="321"/>
      <c r="F68" s="321"/>
      <c r="AP68" s="132"/>
      <c r="AQ68" s="132"/>
      <c r="AR68" s="132"/>
      <c r="AS68" s="132"/>
      <c r="AT68" s="132"/>
      <c r="AU68" s="132"/>
      <c r="AV68" s="132"/>
    </row>
    <row r="69" spans="3:48">
      <c r="C69" s="321"/>
      <c r="D69" s="321"/>
      <c r="E69" s="321"/>
      <c r="F69" s="321"/>
      <c r="AP69" s="132"/>
      <c r="AQ69" s="132"/>
      <c r="AR69" s="132"/>
      <c r="AS69" s="132"/>
      <c r="AT69" s="132"/>
      <c r="AU69" s="132"/>
      <c r="AV69" s="132"/>
    </row>
    <row r="70" spans="3:48">
      <c r="C70" s="321"/>
      <c r="D70" s="321"/>
      <c r="E70" s="321"/>
      <c r="F70" s="321"/>
      <c r="AP70" s="132"/>
      <c r="AQ70" s="132"/>
      <c r="AR70" s="132"/>
      <c r="AS70" s="132"/>
      <c r="AT70" s="132"/>
      <c r="AU70" s="132"/>
      <c r="AV70" s="132"/>
    </row>
    <row r="71" spans="3:48">
      <c r="C71" s="321"/>
      <c r="D71" s="321"/>
      <c r="E71" s="321"/>
      <c r="F71" s="321"/>
      <c r="AP71" s="132"/>
      <c r="AQ71" s="132"/>
      <c r="AR71" s="132"/>
      <c r="AS71" s="132"/>
      <c r="AT71" s="132"/>
      <c r="AU71" s="132"/>
      <c r="AV71" s="132"/>
    </row>
    <row r="72" spans="3:48">
      <c r="C72" s="321"/>
      <c r="D72" s="321"/>
      <c r="E72" s="321"/>
      <c r="F72" s="321"/>
    </row>
    <row r="73" spans="3:48">
      <c r="C73" s="321"/>
      <c r="D73" s="321"/>
      <c r="E73" s="321"/>
      <c r="F73" s="321"/>
    </row>
    <row r="74" spans="3:48">
      <c r="C74" s="321"/>
      <c r="D74" s="321"/>
      <c r="E74" s="321"/>
      <c r="F74" s="321"/>
    </row>
    <row r="75" spans="3:48">
      <c r="C75" s="321"/>
      <c r="D75" s="321"/>
      <c r="E75" s="321"/>
      <c r="F75" s="321"/>
    </row>
    <row r="76" spans="3:48">
      <c r="C76" s="321"/>
      <c r="D76" s="321"/>
      <c r="E76" s="321"/>
      <c r="F76" s="321"/>
    </row>
    <row r="77" spans="3:48">
      <c r="C77" s="321"/>
      <c r="D77" s="321"/>
      <c r="E77" s="321"/>
      <c r="F77" s="321"/>
    </row>
    <row r="78" spans="3:48">
      <c r="C78" s="321"/>
      <c r="D78" s="321"/>
      <c r="E78" s="321"/>
      <c r="F78" s="321"/>
    </row>
  </sheetData>
  <mergeCells count="128">
    <mergeCell ref="C31:C32"/>
    <mergeCell ref="B31:B32"/>
    <mergeCell ref="B49:B51"/>
    <mergeCell ref="C49:C51"/>
    <mergeCell ref="B44:B46"/>
    <mergeCell ref="C44:C46"/>
    <mergeCell ref="B41:B43"/>
    <mergeCell ref="C41:C43"/>
    <mergeCell ref="G2:M2"/>
    <mergeCell ref="M9:M10"/>
    <mergeCell ref="B8:B10"/>
    <mergeCell ref="C8:C10"/>
    <mergeCell ref="G42:G43"/>
    <mergeCell ref="H42:H43"/>
    <mergeCell ref="P9:P10"/>
    <mergeCell ref="N2:Y4"/>
    <mergeCell ref="G3:M3"/>
    <mergeCell ref="G4:M4"/>
    <mergeCell ref="B5:AV6"/>
    <mergeCell ref="B26:B28"/>
    <mergeCell ref="C26:C28"/>
    <mergeCell ref="B2:D4"/>
    <mergeCell ref="E2:F4"/>
    <mergeCell ref="B11:B25"/>
    <mergeCell ref="C11:C13"/>
    <mergeCell ref="C14:C15"/>
    <mergeCell ref="C16:C18"/>
    <mergeCell ref="C19:C20"/>
    <mergeCell ref="C21:C22"/>
    <mergeCell ref="C23:C25"/>
    <mergeCell ref="W9:W10"/>
    <mergeCell ref="X9:X10"/>
    <mergeCell ref="Y9:Y10"/>
    <mergeCell ref="Z9:Z10"/>
    <mergeCell ref="AA9:AA10"/>
    <mergeCell ref="O9:O10"/>
    <mergeCell ref="Q9:Q10"/>
    <mergeCell ref="R9:R10"/>
    <mergeCell ref="N41:N43"/>
    <mergeCell ref="V41:V43"/>
    <mergeCell ref="AD41:AD43"/>
    <mergeCell ref="I42:I43"/>
    <mergeCell ref="J42:J43"/>
    <mergeCell ref="K42:K43"/>
    <mergeCell ref="L42:L43"/>
    <mergeCell ref="M42:M43"/>
    <mergeCell ref="O42:O43"/>
    <mergeCell ref="P42:P43"/>
    <mergeCell ref="Q42:Q43"/>
    <mergeCell ref="R42:R43"/>
    <mergeCell ref="S42:S43"/>
    <mergeCell ref="T42:T43"/>
    <mergeCell ref="U42:U43"/>
    <mergeCell ref="X42:X43"/>
    <mergeCell ref="Y42:Y43"/>
    <mergeCell ref="Z42:Z43"/>
    <mergeCell ref="AA42:AA43"/>
    <mergeCell ref="W42:W43"/>
    <mergeCell ref="N49:N51"/>
    <mergeCell ref="V49:V51"/>
    <mergeCell ref="AD49:AD51"/>
    <mergeCell ref="G50:G51"/>
    <mergeCell ref="H50:H51"/>
    <mergeCell ref="I50:I51"/>
    <mergeCell ref="J50:J51"/>
    <mergeCell ref="K50:K51"/>
    <mergeCell ref="L50:L51"/>
    <mergeCell ref="M50:M51"/>
    <mergeCell ref="O50:O51"/>
    <mergeCell ref="P50:P51"/>
    <mergeCell ref="Q50:Q51"/>
    <mergeCell ref="X50:X51"/>
    <mergeCell ref="Y50:Y51"/>
    <mergeCell ref="Z50:Z51"/>
    <mergeCell ref="AA50:AA51"/>
    <mergeCell ref="R50:R51"/>
    <mergeCell ref="S50:S51"/>
    <mergeCell ref="T50:T51"/>
    <mergeCell ref="U50:U51"/>
    <mergeCell ref="W50:W51"/>
    <mergeCell ref="AL41:AL43"/>
    <mergeCell ref="AM41:AM43"/>
    <mergeCell ref="AN41:AN43"/>
    <mergeCell ref="AL49:AL51"/>
    <mergeCell ref="AM49:AM51"/>
    <mergeCell ref="AN49:AN51"/>
    <mergeCell ref="AB50:AB51"/>
    <mergeCell ref="AG42:AG43"/>
    <mergeCell ref="AC50:AC51"/>
    <mergeCell ref="AE50:AE51"/>
    <mergeCell ref="AF50:AF51"/>
    <mergeCell ref="AG50:AG51"/>
    <mergeCell ref="AB42:AB43"/>
    <mergeCell ref="AC42:AC43"/>
    <mergeCell ref="AE42:AE43"/>
    <mergeCell ref="AF42:AF43"/>
    <mergeCell ref="AH50:AH51"/>
    <mergeCell ref="AI50:AI51"/>
    <mergeCell ref="AJ50:AJ51"/>
    <mergeCell ref="AK50:AK51"/>
    <mergeCell ref="AI42:AI43"/>
    <mergeCell ref="AJ42:AJ43"/>
    <mergeCell ref="AK42:AK43"/>
    <mergeCell ref="AH42:AH43"/>
    <mergeCell ref="AN8:AN10"/>
    <mergeCell ref="G9:G10"/>
    <mergeCell ref="H9:H10"/>
    <mergeCell ref="I9:I10"/>
    <mergeCell ref="J9:J10"/>
    <mergeCell ref="K9:K10"/>
    <mergeCell ref="L9:L10"/>
    <mergeCell ref="N8:N10"/>
    <mergeCell ref="V8:V10"/>
    <mergeCell ref="AD8:AD10"/>
    <mergeCell ref="AL8:AL10"/>
    <mergeCell ref="AM8:AM10"/>
    <mergeCell ref="S9:S10"/>
    <mergeCell ref="T9:T10"/>
    <mergeCell ref="AJ9:AJ10"/>
    <mergeCell ref="AK9:AK10"/>
    <mergeCell ref="AB9:AB10"/>
    <mergeCell ref="AC9:AC10"/>
    <mergeCell ref="AE9:AE10"/>
    <mergeCell ref="AF9:AF10"/>
    <mergeCell ref="AG9:AG10"/>
    <mergeCell ref="AH9:AH10"/>
    <mergeCell ref="U9:U10"/>
    <mergeCell ref="AI9:AI10"/>
  </mergeCells>
  <conditionalFormatting sqref="W12">
    <cfRule type="containsText" dxfId="26" priority="2" operator="containsText" text="X">
      <formula>NOT(ISERROR(SEARCH("X",W12)))</formula>
    </cfRule>
  </conditionalFormatting>
  <conditionalFormatting sqref="W30">
    <cfRule type="containsText" dxfId="25" priority="1" operator="containsText" text="X">
      <formula>NOT(ISERROR(SEARCH("X",W30)))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B1:AT99"/>
  <sheetViews>
    <sheetView zoomScale="80" zoomScaleNormal="80" workbookViewId="0">
      <pane ySplit="6" topLeftCell="A7" activePane="bottomLeft" state="frozen"/>
      <selection pane="bottomLeft" activeCell="K20" sqref="K20"/>
    </sheetView>
  </sheetViews>
  <sheetFormatPr baseColWidth="10" defaultColWidth="11" defaultRowHeight="15"/>
  <cols>
    <col min="1" max="1" width="4" style="132" customWidth="1"/>
    <col min="2" max="2" width="14.5703125" style="132" bestFit="1" customWidth="1"/>
    <col min="3" max="3" width="15.42578125" style="132" bestFit="1" customWidth="1"/>
    <col min="4" max="4" width="15.7109375" style="132" bestFit="1" customWidth="1"/>
    <col min="5" max="5" width="30.5703125" style="132" bestFit="1" customWidth="1"/>
    <col min="6" max="6" width="35.85546875" style="132" bestFit="1" customWidth="1"/>
    <col min="7" max="11" width="3.7109375" style="132" customWidth="1"/>
    <col min="12" max="12" width="3.7109375" style="132" bestFit="1" customWidth="1"/>
    <col min="13" max="13" width="3.7109375" style="132" customWidth="1"/>
    <col min="14" max="14" width="4.85546875" style="353" customWidth="1"/>
    <col min="15" max="19" width="3.7109375" style="132" customWidth="1"/>
    <col min="20" max="20" width="3.42578125" style="132" customWidth="1"/>
    <col min="21" max="21" width="3.7109375" style="132" customWidth="1"/>
    <col min="22" max="22" width="4.28515625" style="353" customWidth="1"/>
    <col min="23" max="24" width="3.7109375" style="132" customWidth="1"/>
    <col min="25" max="27" width="3.42578125" style="132" customWidth="1"/>
    <col min="28" max="28" width="3.7109375" style="132" bestFit="1" customWidth="1"/>
    <col min="29" max="29" width="3.42578125" style="132" customWidth="1"/>
    <col min="30" max="30" width="3.42578125" style="353" customWidth="1"/>
    <col min="31" max="35" width="3.42578125" style="132" bestFit="1" customWidth="1"/>
    <col min="36" max="36" width="3.28515625" style="132" bestFit="1" customWidth="1"/>
    <col min="37" max="37" width="3.42578125" style="132" bestFit="1" customWidth="1"/>
    <col min="38" max="38" width="3.42578125" style="353" customWidth="1"/>
    <col min="39" max="39" width="3.42578125" style="132" hidden="1" customWidth="1"/>
    <col min="40" max="41" width="3" style="132" hidden="1" customWidth="1"/>
    <col min="42" max="42" width="2.28515625" style="132" hidden="1" customWidth="1"/>
    <col min="43" max="45" width="2.7109375" style="132" hidden="1" customWidth="1"/>
    <col min="46" max="46" width="15" style="132" hidden="1" customWidth="1"/>
    <col min="47" max="16384" width="11" style="132"/>
  </cols>
  <sheetData>
    <row r="1" spans="2:38" ht="15.75" thickBot="1"/>
    <row r="2" spans="2:38" ht="15" customHeight="1" thickBot="1">
      <c r="B2" s="664" t="e" vm="4">
        <v>#VALUE!</v>
      </c>
      <c r="C2" s="665"/>
      <c r="D2" s="666"/>
      <c r="E2" s="667" t="s">
        <v>97</v>
      </c>
      <c r="F2" s="668"/>
      <c r="G2" s="668"/>
      <c r="H2" s="668"/>
      <c r="I2" s="668"/>
      <c r="J2" s="668"/>
      <c r="K2" s="668"/>
      <c r="L2" s="668"/>
      <c r="M2" s="668"/>
      <c r="N2" s="668"/>
      <c r="O2" s="668"/>
      <c r="P2" s="823"/>
      <c r="Q2" s="817" t="s">
        <v>98</v>
      </c>
      <c r="R2" s="818"/>
      <c r="S2" s="818"/>
      <c r="T2" s="818"/>
      <c r="U2" s="818"/>
      <c r="V2" s="818"/>
      <c r="W2" s="819"/>
      <c r="X2" s="664" t="e" vm="5">
        <v>#VALUE!</v>
      </c>
      <c r="Y2" s="665"/>
      <c r="Z2" s="665"/>
      <c r="AA2" s="665"/>
      <c r="AB2" s="665"/>
      <c r="AC2" s="665"/>
      <c r="AD2" s="665"/>
      <c r="AE2" s="665"/>
      <c r="AF2" s="665"/>
      <c r="AG2" s="665"/>
      <c r="AH2" s="665"/>
      <c r="AI2" s="666"/>
    </row>
    <row r="3" spans="2:38" ht="15" customHeight="1" thickBot="1">
      <c r="B3" s="649"/>
      <c r="C3" s="650"/>
      <c r="D3" s="651"/>
      <c r="E3" s="669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824"/>
      <c r="Q3" s="817" t="s">
        <v>99</v>
      </c>
      <c r="R3" s="818"/>
      <c r="S3" s="818"/>
      <c r="T3" s="818"/>
      <c r="U3" s="818"/>
      <c r="V3" s="818"/>
      <c r="W3" s="819"/>
      <c r="X3" s="649"/>
      <c r="Y3" s="650"/>
      <c r="Z3" s="650"/>
      <c r="AA3" s="650"/>
      <c r="AB3" s="650"/>
      <c r="AC3" s="650"/>
      <c r="AD3" s="650"/>
      <c r="AE3" s="650"/>
      <c r="AF3" s="650"/>
      <c r="AG3" s="650"/>
      <c r="AH3" s="650"/>
      <c r="AI3" s="651"/>
    </row>
    <row r="4" spans="2:38" ht="15.75" customHeight="1" thickBot="1">
      <c r="B4" s="649"/>
      <c r="C4" s="650"/>
      <c r="D4" s="651"/>
      <c r="E4" s="669"/>
      <c r="F4" s="670"/>
      <c r="G4" s="670"/>
      <c r="H4" s="670"/>
      <c r="I4" s="670"/>
      <c r="J4" s="670"/>
      <c r="K4" s="670"/>
      <c r="L4" s="670"/>
      <c r="M4" s="670"/>
      <c r="N4" s="670"/>
      <c r="O4" s="670"/>
      <c r="P4" s="824"/>
      <c r="Q4" s="817" t="s">
        <v>100</v>
      </c>
      <c r="R4" s="818"/>
      <c r="S4" s="818"/>
      <c r="T4" s="818"/>
      <c r="U4" s="818"/>
      <c r="V4" s="818"/>
      <c r="W4" s="819"/>
      <c r="X4" s="649"/>
      <c r="Y4" s="650"/>
      <c r="Z4" s="650"/>
      <c r="AA4" s="650"/>
      <c r="AB4" s="650"/>
      <c r="AC4" s="650"/>
      <c r="AD4" s="650"/>
      <c r="AE4" s="650"/>
      <c r="AF4" s="650"/>
      <c r="AG4" s="650"/>
      <c r="AH4" s="650"/>
      <c r="AI4" s="651"/>
    </row>
    <row r="5" spans="2:38" ht="15" customHeight="1">
      <c r="B5" s="658" t="s">
        <v>846</v>
      </c>
      <c r="C5" s="659"/>
      <c r="D5" s="659"/>
      <c r="E5" s="659"/>
      <c r="F5" s="659"/>
      <c r="G5" s="659"/>
      <c r="H5" s="659"/>
      <c r="I5" s="659"/>
      <c r="J5" s="659"/>
      <c r="K5" s="659"/>
      <c r="L5" s="659"/>
      <c r="M5" s="659"/>
      <c r="N5" s="659"/>
      <c r="O5" s="659"/>
      <c r="P5" s="659"/>
      <c r="Q5" s="659"/>
      <c r="R5" s="659"/>
      <c r="S5" s="659"/>
      <c r="T5" s="659"/>
      <c r="U5" s="659"/>
      <c r="V5" s="659"/>
      <c r="W5" s="659"/>
      <c r="X5" s="659"/>
      <c r="Y5" s="659"/>
      <c r="Z5" s="659"/>
      <c r="AA5" s="659"/>
      <c r="AB5" s="659"/>
      <c r="AC5" s="659"/>
      <c r="AD5" s="659"/>
      <c r="AE5" s="659"/>
      <c r="AF5" s="659"/>
      <c r="AG5" s="659"/>
      <c r="AH5" s="659"/>
      <c r="AI5" s="659"/>
      <c r="AJ5" s="659"/>
      <c r="AK5" s="659"/>
      <c r="AL5" s="659"/>
    </row>
    <row r="6" spans="2:38" ht="15.75" customHeight="1" thickBot="1">
      <c r="B6" s="660"/>
      <c r="C6" s="661"/>
      <c r="D6" s="661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  <c r="P6" s="661"/>
      <c r="Q6" s="661"/>
      <c r="R6" s="661"/>
      <c r="S6" s="661"/>
      <c r="T6" s="661"/>
      <c r="U6" s="661"/>
      <c r="V6" s="661"/>
      <c r="W6" s="661"/>
      <c r="X6" s="661"/>
      <c r="Y6" s="661"/>
      <c r="Z6" s="661"/>
      <c r="AA6" s="661"/>
      <c r="AB6" s="661"/>
      <c r="AC6" s="661"/>
      <c r="AD6" s="661"/>
      <c r="AE6" s="661"/>
      <c r="AF6" s="661"/>
      <c r="AG6" s="661"/>
      <c r="AH6" s="661"/>
      <c r="AI6" s="661"/>
      <c r="AJ6" s="661"/>
      <c r="AK6" s="661"/>
      <c r="AL6" s="661"/>
    </row>
    <row r="7" spans="2:38" ht="15.75" customHeight="1"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  <c r="AK7" s="220"/>
      <c r="AL7" s="433"/>
    </row>
    <row r="8" spans="2:38" ht="15.75" customHeight="1">
      <c r="B8" s="822" t="s">
        <v>126</v>
      </c>
      <c r="C8" s="822" t="s">
        <v>127</v>
      </c>
      <c r="D8" s="196" t="s">
        <v>101</v>
      </c>
      <c r="E8" s="196" t="s">
        <v>175</v>
      </c>
      <c r="F8" s="465" t="s">
        <v>102</v>
      </c>
      <c r="G8" s="463" t="s">
        <v>103</v>
      </c>
      <c r="H8" s="463" t="s">
        <v>104</v>
      </c>
      <c r="I8" s="463" t="s">
        <v>104</v>
      </c>
      <c r="J8" s="463" t="s">
        <v>105</v>
      </c>
      <c r="K8" s="463" t="s">
        <v>106</v>
      </c>
      <c r="L8" s="463" t="s">
        <v>107</v>
      </c>
      <c r="M8" s="463" t="s">
        <v>108</v>
      </c>
      <c r="N8" s="830" t="s">
        <v>109</v>
      </c>
      <c r="O8" s="468" t="s">
        <v>103</v>
      </c>
      <c r="P8" s="468" t="s">
        <v>104</v>
      </c>
      <c r="Q8" s="468" t="s">
        <v>104</v>
      </c>
      <c r="R8" s="468" t="s">
        <v>105</v>
      </c>
      <c r="S8" s="468" t="s">
        <v>106</v>
      </c>
      <c r="T8" s="468" t="s">
        <v>107</v>
      </c>
      <c r="U8" s="468" t="s">
        <v>108</v>
      </c>
      <c r="V8" s="830" t="s">
        <v>109</v>
      </c>
      <c r="W8" s="469" t="s">
        <v>103</v>
      </c>
      <c r="X8" s="469" t="s">
        <v>104</v>
      </c>
      <c r="Y8" s="469" t="s">
        <v>104</v>
      </c>
      <c r="Z8" s="469" t="s">
        <v>105</v>
      </c>
      <c r="AA8" s="469" t="s">
        <v>106</v>
      </c>
      <c r="AB8" s="469" t="s">
        <v>107</v>
      </c>
      <c r="AC8" s="469" t="s">
        <v>108</v>
      </c>
      <c r="AD8" s="830" t="s">
        <v>109</v>
      </c>
      <c r="AE8" s="470" t="s">
        <v>103</v>
      </c>
      <c r="AF8" s="470" t="s">
        <v>104</v>
      </c>
      <c r="AG8" s="470" t="s">
        <v>104</v>
      </c>
      <c r="AH8" s="471" t="s">
        <v>105</v>
      </c>
      <c r="AI8" s="471" t="s">
        <v>106</v>
      </c>
      <c r="AJ8" s="471" t="s">
        <v>107</v>
      </c>
      <c r="AK8" s="471" t="s">
        <v>108</v>
      </c>
      <c r="AL8" s="830" t="s">
        <v>109</v>
      </c>
    </row>
    <row r="9" spans="2:38">
      <c r="B9" s="822"/>
      <c r="C9" s="822"/>
      <c r="D9" s="196" t="s">
        <v>112</v>
      </c>
      <c r="E9" s="196" t="s">
        <v>845</v>
      </c>
      <c r="F9" s="465" t="s">
        <v>113</v>
      </c>
      <c r="G9" s="831">
        <v>7</v>
      </c>
      <c r="H9" s="831">
        <v>8</v>
      </c>
      <c r="I9" s="831">
        <v>9</v>
      </c>
      <c r="J9" s="831">
        <v>10</v>
      </c>
      <c r="K9" s="831">
        <v>11</v>
      </c>
      <c r="L9" s="831">
        <v>12</v>
      </c>
      <c r="M9" s="831">
        <v>13</v>
      </c>
      <c r="N9" s="830"/>
      <c r="O9" s="831">
        <v>14</v>
      </c>
      <c r="P9" s="831">
        <v>15</v>
      </c>
      <c r="Q9" s="831">
        <v>16</v>
      </c>
      <c r="R9" s="831">
        <v>17</v>
      </c>
      <c r="S9" s="831">
        <v>18</v>
      </c>
      <c r="T9" s="831">
        <v>19</v>
      </c>
      <c r="U9" s="831">
        <v>20</v>
      </c>
      <c r="V9" s="830"/>
      <c r="W9" s="831">
        <v>21</v>
      </c>
      <c r="X9" s="831">
        <v>22</v>
      </c>
      <c r="Y9" s="831">
        <v>23</v>
      </c>
      <c r="Z9" s="831">
        <v>24</v>
      </c>
      <c r="AA9" s="831">
        <v>25</v>
      </c>
      <c r="AB9" s="831">
        <v>26</v>
      </c>
      <c r="AC9" s="831">
        <v>27</v>
      </c>
      <c r="AD9" s="830"/>
      <c r="AE9" s="831">
        <v>28</v>
      </c>
      <c r="AF9" s="831">
        <v>29</v>
      </c>
      <c r="AG9" s="831">
        <v>30</v>
      </c>
      <c r="AH9" s="831">
        <v>1</v>
      </c>
      <c r="AI9" s="831">
        <v>2</v>
      </c>
      <c r="AJ9" s="831">
        <v>3</v>
      </c>
      <c r="AK9" s="831">
        <v>4</v>
      </c>
      <c r="AL9" s="830"/>
    </row>
    <row r="10" spans="2:38">
      <c r="B10" s="822"/>
      <c r="C10" s="822"/>
      <c r="D10" s="455" t="s">
        <v>42</v>
      </c>
      <c r="E10" s="456" t="s">
        <v>114</v>
      </c>
      <c r="F10" s="462" t="s">
        <v>115</v>
      </c>
      <c r="G10" s="831"/>
      <c r="H10" s="831"/>
      <c r="I10" s="831"/>
      <c r="J10" s="831"/>
      <c r="K10" s="831"/>
      <c r="L10" s="831"/>
      <c r="M10" s="831"/>
      <c r="N10" s="830"/>
      <c r="O10" s="831"/>
      <c r="P10" s="831"/>
      <c r="Q10" s="831"/>
      <c r="R10" s="831"/>
      <c r="S10" s="831"/>
      <c r="T10" s="831"/>
      <c r="U10" s="831"/>
      <c r="V10" s="830"/>
      <c r="W10" s="831"/>
      <c r="X10" s="831"/>
      <c r="Y10" s="831"/>
      <c r="Z10" s="831"/>
      <c r="AA10" s="831"/>
      <c r="AB10" s="831"/>
      <c r="AC10" s="831"/>
      <c r="AD10" s="830"/>
      <c r="AE10" s="831"/>
      <c r="AF10" s="831"/>
      <c r="AG10" s="831"/>
      <c r="AH10" s="831"/>
      <c r="AI10" s="831"/>
      <c r="AJ10" s="831"/>
      <c r="AK10" s="831"/>
      <c r="AL10" s="830"/>
    </row>
    <row r="11" spans="2:38">
      <c r="B11" s="825" t="s">
        <v>176</v>
      </c>
      <c r="C11" s="826" t="s">
        <v>177</v>
      </c>
      <c r="D11" s="457">
        <v>1</v>
      </c>
      <c r="E11" s="195" t="s">
        <v>459</v>
      </c>
      <c r="F11" s="464" t="s">
        <v>460</v>
      </c>
      <c r="G11" s="472" t="s">
        <v>117</v>
      </c>
      <c r="H11" s="473" t="s">
        <v>108</v>
      </c>
      <c r="I11" s="473" t="s">
        <v>108</v>
      </c>
      <c r="J11" s="473" t="s">
        <v>108</v>
      </c>
      <c r="K11" s="473" t="s">
        <v>116</v>
      </c>
      <c r="L11" s="473" t="s">
        <v>116</v>
      </c>
      <c r="M11" s="473" t="s">
        <v>116</v>
      </c>
      <c r="N11" s="474">
        <v>72</v>
      </c>
      <c r="O11" s="472" t="s">
        <v>117</v>
      </c>
      <c r="P11" s="472" t="s">
        <v>117</v>
      </c>
      <c r="Q11" s="473" t="s">
        <v>108</v>
      </c>
      <c r="R11" s="473" t="s">
        <v>108</v>
      </c>
      <c r="S11" s="473" t="s">
        <v>108</v>
      </c>
      <c r="T11" s="473" t="s">
        <v>116</v>
      </c>
      <c r="U11" s="473" t="s">
        <v>116</v>
      </c>
      <c r="V11" s="474">
        <v>60</v>
      </c>
      <c r="W11" s="472" t="s">
        <v>117</v>
      </c>
      <c r="X11" s="473" t="s">
        <v>108</v>
      </c>
      <c r="Y11" s="473" t="s">
        <v>108</v>
      </c>
      <c r="Z11" s="473" t="s">
        <v>108</v>
      </c>
      <c r="AA11" s="473" t="s">
        <v>116</v>
      </c>
      <c r="AB11" s="473" t="s">
        <v>116</v>
      </c>
      <c r="AC11" s="473" t="s">
        <v>116</v>
      </c>
      <c r="AD11" s="474">
        <v>72</v>
      </c>
      <c r="AE11" s="472" t="s">
        <v>117</v>
      </c>
      <c r="AF11" s="472" t="s">
        <v>117</v>
      </c>
      <c r="AG11" s="473" t="s">
        <v>108</v>
      </c>
      <c r="AH11" s="473" t="s">
        <v>108</v>
      </c>
      <c r="AI11" s="473" t="s">
        <v>116</v>
      </c>
      <c r="AJ11" s="473" t="s">
        <v>116</v>
      </c>
      <c r="AK11" s="473" t="s">
        <v>116</v>
      </c>
      <c r="AL11" s="474">
        <v>60</v>
      </c>
    </row>
    <row r="12" spans="2:38">
      <c r="B12" s="825"/>
      <c r="C12" s="826"/>
      <c r="D12" s="457">
        <v>2</v>
      </c>
      <c r="E12" s="195" t="s">
        <v>729</v>
      </c>
      <c r="F12" s="464" t="s">
        <v>730</v>
      </c>
      <c r="G12" s="473" t="s">
        <v>116</v>
      </c>
      <c r="H12" s="472" t="s">
        <v>117</v>
      </c>
      <c r="I12" s="472" t="s">
        <v>117</v>
      </c>
      <c r="J12" s="475" t="s">
        <v>108</v>
      </c>
      <c r="K12" s="473" t="s">
        <v>108</v>
      </c>
      <c r="L12" s="473" t="s">
        <v>116</v>
      </c>
      <c r="M12" s="473" t="s">
        <v>116</v>
      </c>
      <c r="N12" s="474">
        <v>60</v>
      </c>
      <c r="O12" s="473" t="s">
        <v>116</v>
      </c>
      <c r="P12" s="473" t="s">
        <v>116</v>
      </c>
      <c r="Q12" s="472" t="s">
        <v>117</v>
      </c>
      <c r="R12" s="473" t="s">
        <v>108</v>
      </c>
      <c r="S12" s="473" t="s">
        <v>108</v>
      </c>
      <c r="T12" s="473" t="s">
        <v>108</v>
      </c>
      <c r="U12" s="473" t="s">
        <v>116</v>
      </c>
      <c r="V12" s="474">
        <v>72</v>
      </c>
      <c r="W12" s="473" t="s">
        <v>116</v>
      </c>
      <c r="X12" s="472" t="s">
        <v>117</v>
      </c>
      <c r="Y12" s="472" t="s">
        <v>117</v>
      </c>
      <c r="Z12" s="475" t="s">
        <v>108</v>
      </c>
      <c r="AA12" s="473" t="s">
        <v>108</v>
      </c>
      <c r="AB12" s="473" t="s">
        <v>116</v>
      </c>
      <c r="AC12" s="473" t="s">
        <v>116</v>
      </c>
      <c r="AD12" s="474">
        <v>60</v>
      </c>
      <c r="AE12" s="473" t="s">
        <v>116</v>
      </c>
      <c r="AF12" s="473" t="s">
        <v>116</v>
      </c>
      <c r="AG12" s="472" t="s">
        <v>117</v>
      </c>
      <c r="AH12" s="473" t="s">
        <v>108</v>
      </c>
      <c r="AI12" s="473" t="s">
        <v>108</v>
      </c>
      <c r="AJ12" s="473" t="s">
        <v>108</v>
      </c>
      <c r="AK12" s="473" t="s">
        <v>116</v>
      </c>
      <c r="AL12" s="474">
        <v>72</v>
      </c>
    </row>
    <row r="13" spans="2:38">
      <c r="B13" s="825"/>
      <c r="C13" s="826"/>
      <c r="D13" s="457">
        <v>3</v>
      </c>
      <c r="E13" s="195" t="s">
        <v>463</v>
      </c>
      <c r="F13" s="464" t="s">
        <v>464</v>
      </c>
      <c r="G13" s="473" t="s">
        <v>116</v>
      </c>
      <c r="H13" s="473" t="s">
        <v>116</v>
      </c>
      <c r="I13" s="473" t="s">
        <v>116</v>
      </c>
      <c r="J13" s="472" t="s">
        <v>117</v>
      </c>
      <c r="K13" s="473" t="s">
        <v>108</v>
      </c>
      <c r="L13" s="473" t="s">
        <v>108</v>
      </c>
      <c r="M13" s="473" t="s">
        <v>108</v>
      </c>
      <c r="N13" s="474">
        <v>72</v>
      </c>
      <c r="O13" s="473" t="s">
        <v>116</v>
      </c>
      <c r="P13" s="473" t="s">
        <v>116</v>
      </c>
      <c r="Q13" s="473" t="s">
        <v>116</v>
      </c>
      <c r="R13" s="472" t="s">
        <v>117</v>
      </c>
      <c r="S13" s="472" t="s">
        <v>117</v>
      </c>
      <c r="T13" s="473" t="s">
        <v>108</v>
      </c>
      <c r="U13" s="473" t="s">
        <v>108</v>
      </c>
      <c r="V13" s="474">
        <v>60</v>
      </c>
      <c r="W13" s="473" t="s">
        <v>116</v>
      </c>
      <c r="X13" s="473" t="s">
        <v>116</v>
      </c>
      <c r="Y13" s="473" t="s">
        <v>116</v>
      </c>
      <c r="Z13" s="472" t="s">
        <v>117</v>
      </c>
      <c r="AA13" s="473" t="s">
        <v>108</v>
      </c>
      <c r="AB13" s="473" t="s">
        <v>108</v>
      </c>
      <c r="AC13" s="473" t="s">
        <v>108</v>
      </c>
      <c r="AD13" s="474">
        <v>72</v>
      </c>
      <c r="AE13" s="473" t="s">
        <v>116</v>
      </c>
      <c r="AF13" s="473" t="s">
        <v>116</v>
      </c>
      <c r="AG13" s="473" t="s">
        <v>116</v>
      </c>
      <c r="AH13" s="472" t="s">
        <v>117</v>
      </c>
      <c r="AI13" s="473" t="s">
        <v>108</v>
      </c>
      <c r="AJ13" s="473" t="s">
        <v>108</v>
      </c>
      <c r="AK13" s="473" t="s">
        <v>108</v>
      </c>
      <c r="AL13" s="474">
        <v>72</v>
      </c>
    </row>
    <row r="14" spans="2:38">
      <c r="B14" s="825"/>
      <c r="C14" s="826" t="s">
        <v>178</v>
      </c>
      <c r="D14" s="457">
        <v>4</v>
      </c>
      <c r="E14" s="195" t="s">
        <v>465</v>
      </c>
      <c r="F14" s="464" t="s">
        <v>466</v>
      </c>
      <c r="G14" s="473" t="s">
        <v>108</v>
      </c>
      <c r="H14" s="473" t="s">
        <v>116</v>
      </c>
      <c r="I14" s="473" t="s">
        <v>116</v>
      </c>
      <c r="J14" s="473" t="s">
        <v>116</v>
      </c>
      <c r="K14" s="472" t="s">
        <v>117</v>
      </c>
      <c r="L14" s="472" t="s">
        <v>117</v>
      </c>
      <c r="M14" s="473" t="s">
        <v>108</v>
      </c>
      <c r="N14" s="474">
        <v>60</v>
      </c>
      <c r="O14" s="473" t="s">
        <v>108</v>
      </c>
      <c r="P14" s="473" t="s">
        <v>108</v>
      </c>
      <c r="Q14" s="473" t="s">
        <v>116</v>
      </c>
      <c r="R14" s="473" t="s">
        <v>116</v>
      </c>
      <c r="S14" s="473" t="s">
        <v>116</v>
      </c>
      <c r="T14" s="472" t="s">
        <v>117</v>
      </c>
      <c r="U14" s="473" t="s">
        <v>108</v>
      </c>
      <c r="V14" s="474">
        <v>72</v>
      </c>
      <c r="W14" s="473" t="s">
        <v>108</v>
      </c>
      <c r="X14" s="473" t="s">
        <v>108</v>
      </c>
      <c r="Y14" s="473" t="s">
        <v>116</v>
      </c>
      <c r="Z14" s="473" t="s">
        <v>116</v>
      </c>
      <c r="AA14" s="472" t="s">
        <v>117</v>
      </c>
      <c r="AB14" s="473" t="s">
        <v>108</v>
      </c>
      <c r="AC14" s="473" t="s">
        <v>108</v>
      </c>
      <c r="AD14" s="474">
        <v>72</v>
      </c>
      <c r="AE14" s="473" t="s">
        <v>108</v>
      </c>
      <c r="AF14" s="473" t="s">
        <v>108</v>
      </c>
      <c r="AG14" s="475" t="s">
        <v>116</v>
      </c>
      <c r="AH14" s="473" t="s">
        <v>116</v>
      </c>
      <c r="AI14" s="472" t="s">
        <v>117</v>
      </c>
      <c r="AJ14" s="472" t="s">
        <v>117</v>
      </c>
      <c r="AK14" s="473" t="s">
        <v>108</v>
      </c>
      <c r="AL14" s="474">
        <v>60</v>
      </c>
    </row>
    <row r="15" spans="2:38">
      <c r="B15" s="825"/>
      <c r="C15" s="826"/>
      <c r="D15" s="457">
        <v>5</v>
      </c>
      <c r="E15" s="195" t="s">
        <v>482</v>
      </c>
      <c r="F15" s="464" t="s">
        <v>483</v>
      </c>
      <c r="G15" s="473" t="s">
        <v>108</v>
      </c>
      <c r="H15" s="473" t="s">
        <v>108</v>
      </c>
      <c r="I15" s="473" t="s">
        <v>108</v>
      </c>
      <c r="J15" s="473" t="s">
        <v>108</v>
      </c>
      <c r="K15" s="473" t="s">
        <v>108</v>
      </c>
      <c r="L15" s="473" t="s">
        <v>108</v>
      </c>
      <c r="M15" s="472" t="s">
        <v>117</v>
      </c>
      <c r="N15" s="474">
        <v>72</v>
      </c>
      <c r="O15" s="473" t="s">
        <v>108</v>
      </c>
      <c r="P15" s="473" t="s">
        <v>108</v>
      </c>
      <c r="Q15" s="473" t="s">
        <v>108</v>
      </c>
      <c r="R15" s="473" t="s">
        <v>108</v>
      </c>
      <c r="S15" s="473" t="s">
        <v>108</v>
      </c>
      <c r="T15" s="473" t="s">
        <v>108</v>
      </c>
      <c r="U15" s="472" t="s">
        <v>117</v>
      </c>
      <c r="V15" s="474">
        <v>72</v>
      </c>
      <c r="W15" s="473" t="s">
        <v>108</v>
      </c>
      <c r="X15" s="473" t="s">
        <v>108</v>
      </c>
      <c r="Y15" s="473" t="s">
        <v>108</v>
      </c>
      <c r="Z15" s="473" t="s">
        <v>108</v>
      </c>
      <c r="AA15" s="473" t="s">
        <v>108</v>
      </c>
      <c r="AB15" s="472" t="s">
        <v>117</v>
      </c>
      <c r="AC15" s="472" t="s">
        <v>117</v>
      </c>
      <c r="AD15" s="474">
        <v>60</v>
      </c>
      <c r="AE15" s="473" t="s">
        <v>108</v>
      </c>
      <c r="AF15" s="473" t="s">
        <v>108</v>
      </c>
      <c r="AG15" s="473" t="s">
        <v>108</v>
      </c>
      <c r="AH15" s="473" t="s">
        <v>108</v>
      </c>
      <c r="AI15" s="473" t="s">
        <v>108</v>
      </c>
      <c r="AJ15" s="473" t="s">
        <v>108</v>
      </c>
      <c r="AK15" s="472" t="s">
        <v>117</v>
      </c>
      <c r="AL15" s="474">
        <v>72</v>
      </c>
    </row>
    <row r="16" spans="2:38">
      <c r="B16" s="825"/>
      <c r="C16" s="827" t="s">
        <v>179</v>
      </c>
      <c r="D16" s="457">
        <v>6</v>
      </c>
      <c r="E16" s="195" t="s">
        <v>469</v>
      </c>
      <c r="F16" s="464" t="s">
        <v>470</v>
      </c>
      <c r="G16" s="472" t="s">
        <v>117</v>
      </c>
      <c r="H16" s="473" t="s">
        <v>108</v>
      </c>
      <c r="I16" s="473" t="s">
        <v>108</v>
      </c>
      <c r="J16" s="473" t="s">
        <v>108</v>
      </c>
      <c r="K16" s="473" t="s">
        <v>116</v>
      </c>
      <c r="L16" s="473" t="s">
        <v>116</v>
      </c>
      <c r="M16" s="473" t="s">
        <v>116</v>
      </c>
      <c r="N16" s="474">
        <v>72</v>
      </c>
      <c r="O16" s="472" t="s">
        <v>117</v>
      </c>
      <c r="P16" s="472" t="s">
        <v>117</v>
      </c>
      <c r="Q16" s="473" t="s">
        <v>108</v>
      </c>
      <c r="R16" s="473" t="s">
        <v>108</v>
      </c>
      <c r="S16" s="473" t="s">
        <v>108</v>
      </c>
      <c r="T16" s="473" t="s">
        <v>116</v>
      </c>
      <c r="U16" s="473" t="s">
        <v>116</v>
      </c>
      <c r="V16" s="474">
        <v>60</v>
      </c>
      <c r="W16" s="472" t="s">
        <v>117</v>
      </c>
      <c r="X16" s="473" t="s">
        <v>108</v>
      </c>
      <c r="Y16" s="473" t="s">
        <v>108</v>
      </c>
      <c r="Z16" s="473" t="s">
        <v>108</v>
      </c>
      <c r="AA16" s="473" t="s">
        <v>116</v>
      </c>
      <c r="AB16" s="473" t="s">
        <v>116</v>
      </c>
      <c r="AC16" s="473" t="s">
        <v>116</v>
      </c>
      <c r="AD16" s="474">
        <v>72</v>
      </c>
      <c r="AE16" s="472" t="s">
        <v>117</v>
      </c>
      <c r="AF16" s="472" t="s">
        <v>117</v>
      </c>
      <c r="AG16" s="473" t="s">
        <v>108</v>
      </c>
      <c r="AH16" s="473" t="s">
        <v>108</v>
      </c>
      <c r="AI16" s="473" t="s">
        <v>116</v>
      </c>
      <c r="AJ16" s="473" t="s">
        <v>116</v>
      </c>
      <c r="AK16" s="473" t="s">
        <v>116</v>
      </c>
      <c r="AL16" s="474">
        <v>60</v>
      </c>
    </row>
    <row r="17" spans="2:38">
      <c r="B17" s="825"/>
      <c r="C17" s="827"/>
      <c r="D17" s="457">
        <v>7</v>
      </c>
      <c r="E17" s="195" t="s">
        <v>461</v>
      </c>
      <c r="F17" s="464" t="s">
        <v>462</v>
      </c>
      <c r="G17" s="473" t="s">
        <v>116</v>
      </c>
      <c r="H17" s="472" t="s">
        <v>117</v>
      </c>
      <c r="I17" s="472" t="s">
        <v>117</v>
      </c>
      <c r="J17" s="473" t="s">
        <v>108</v>
      </c>
      <c r="K17" s="473" t="s">
        <v>108</v>
      </c>
      <c r="L17" s="473" t="s">
        <v>108</v>
      </c>
      <c r="M17" s="473" t="s">
        <v>116</v>
      </c>
      <c r="N17" s="474">
        <v>60</v>
      </c>
      <c r="O17" s="473" t="s">
        <v>116</v>
      </c>
      <c r="P17" s="473" t="s">
        <v>116</v>
      </c>
      <c r="Q17" s="472" t="s">
        <v>117</v>
      </c>
      <c r="R17" s="473" t="s">
        <v>108</v>
      </c>
      <c r="S17" s="473" t="s">
        <v>108</v>
      </c>
      <c r="T17" s="473" t="s">
        <v>108</v>
      </c>
      <c r="U17" s="473" t="s">
        <v>116</v>
      </c>
      <c r="V17" s="474">
        <v>72</v>
      </c>
      <c r="W17" s="473" t="s">
        <v>116</v>
      </c>
      <c r="X17" s="472" t="s">
        <v>117</v>
      </c>
      <c r="Y17" s="472" t="s">
        <v>117</v>
      </c>
      <c r="Z17" s="473" t="s">
        <v>108</v>
      </c>
      <c r="AA17" s="473" t="s">
        <v>108</v>
      </c>
      <c r="AB17" s="473" t="s">
        <v>116</v>
      </c>
      <c r="AC17" s="473" t="s">
        <v>116</v>
      </c>
      <c r="AD17" s="474">
        <v>60</v>
      </c>
      <c r="AE17" s="473" t="s">
        <v>116</v>
      </c>
      <c r="AF17" s="473" t="s">
        <v>116</v>
      </c>
      <c r="AG17" s="472" t="s">
        <v>117</v>
      </c>
      <c r="AH17" s="473" t="s">
        <v>108</v>
      </c>
      <c r="AI17" s="473" t="s">
        <v>108</v>
      </c>
      <c r="AJ17" s="473" t="s">
        <v>108</v>
      </c>
      <c r="AK17" s="473" t="s">
        <v>116</v>
      </c>
      <c r="AL17" s="474">
        <v>72</v>
      </c>
    </row>
    <row r="18" spans="2:38">
      <c r="B18" s="825"/>
      <c r="C18" s="827"/>
      <c r="D18" s="457">
        <v>8</v>
      </c>
      <c r="E18" s="195" t="s">
        <v>847</v>
      </c>
      <c r="F18" s="464" t="s">
        <v>848</v>
      </c>
      <c r="G18" s="473" t="s">
        <v>116</v>
      </c>
      <c r="H18" s="473" t="s">
        <v>116</v>
      </c>
      <c r="I18" s="473" t="s">
        <v>116</v>
      </c>
      <c r="J18" s="472" t="s">
        <v>117</v>
      </c>
      <c r="K18" s="473" t="s">
        <v>108</v>
      </c>
      <c r="L18" s="473" t="s">
        <v>108</v>
      </c>
      <c r="M18" s="473" t="s">
        <v>108</v>
      </c>
      <c r="N18" s="474">
        <v>72</v>
      </c>
      <c r="O18" s="473" t="s">
        <v>116</v>
      </c>
      <c r="P18" s="473" t="s">
        <v>116</v>
      </c>
      <c r="Q18" s="473" t="s">
        <v>116</v>
      </c>
      <c r="R18" s="472" t="s">
        <v>117</v>
      </c>
      <c r="S18" s="472" t="s">
        <v>117</v>
      </c>
      <c r="T18" s="473" t="s">
        <v>108</v>
      </c>
      <c r="U18" s="473" t="s">
        <v>108</v>
      </c>
      <c r="V18" s="474">
        <v>60</v>
      </c>
      <c r="W18" s="473" t="s">
        <v>116</v>
      </c>
      <c r="X18" s="473" t="s">
        <v>116</v>
      </c>
      <c r="Y18" s="473" t="s">
        <v>116</v>
      </c>
      <c r="Z18" s="472" t="s">
        <v>117</v>
      </c>
      <c r="AA18" s="473" t="s">
        <v>108</v>
      </c>
      <c r="AB18" s="473" t="s">
        <v>108</v>
      </c>
      <c r="AC18" s="473" t="s">
        <v>108</v>
      </c>
      <c r="AD18" s="474">
        <v>72</v>
      </c>
      <c r="AE18" s="473" t="s">
        <v>116</v>
      </c>
      <c r="AF18" s="473" t="s">
        <v>116</v>
      </c>
      <c r="AG18" s="473" t="s">
        <v>116</v>
      </c>
      <c r="AH18" s="472" t="s">
        <v>117</v>
      </c>
      <c r="AI18" s="473" t="s">
        <v>108</v>
      </c>
      <c r="AJ18" s="473" t="s">
        <v>108</v>
      </c>
      <c r="AK18" s="473" t="s">
        <v>108</v>
      </c>
      <c r="AL18" s="474">
        <v>72</v>
      </c>
    </row>
    <row r="19" spans="2:38">
      <c r="B19" s="825"/>
      <c r="C19" s="827" t="s">
        <v>180</v>
      </c>
      <c r="D19" s="457">
        <v>9</v>
      </c>
      <c r="E19" s="195" t="s">
        <v>473</v>
      </c>
      <c r="F19" s="464" t="s">
        <v>474</v>
      </c>
      <c r="G19" s="473" t="s">
        <v>108</v>
      </c>
      <c r="H19" s="473" t="s">
        <v>116</v>
      </c>
      <c r="I19" s="473" t="s">
        <v>116</v>
      </c>
      <c r="J19" s="473" t="s">
        <v>116</v>
      </c>
      <c r="K19" s="472" t="s">
        <v>117</v>
      </c>
      <c r="L19" s="472" t="s">
        <v>117</v>
      </c>
      <c r="M19" s="473" t="s">
        <v>108</v>
      </c>
      <c r="N19" s="474">
        <v>60</v>
      </c>
      <c r="O19" s="473" t="s">
        <v>108</v>
      </c>
      <c r="P19" s="473" t="s">
        <v>108</v>
      </c>
      <c r="Q19" s="473" t="s">
        <v>116</v>
      </c>
      <c r="R19" s="473" t="s">
        <v>116</v>
      </c>
      <c r="S19" s="473" t="s">
        <v>116</v>
      </c>
      <c r="T19" s="472" t="s">
        <v>117</v>
      </c>
      <c r="U19" s="473" t="s">
        <v>108</v>
      </c>
      <c r="V19" s="474">
        <v>72</v>
      </c>
      <c r="W19" s="473" t="s">
        <v>108</v>
      </c>
      <c r="X19" s="473" t="s">
        <v>108</v>
      </c>
      <c r="Y19" s="473" t="s">
        <v>116</v>
      </c>
      <c r="Z19" s="473" t="s">
        <v>116</v>
      </c>
      <c r="AA19" s="472" t="s">
        <v>117</v>
      </c>
      <c r="AB19" s="473" t="s">
        <v>108</v>
      </c>
      <c r="AC19" s="473" t="s">
        <v>108</v>
      </c>
      <c r="AD19" s="474">
        <v>72</v>
      </c>
      <c r="AE19" s="473" t="s">
        <v>108</v>
      </c>
      <c r="AF19" s="473" t="s">
        <v>108</v>
      </c>
      <c r="AG19" s="473" t="s">
        <v>116</v>
      </c>
      <c r="AH19" s="473" t="s">
        <v>116</v>
      </c>
      <c r="AI19" s="472" t="s">
        <v>117</v>
      </c>
      <c r="AJ19" s="472" t="s">
        <v>117</v>
      </c>
      <c r="AK19" s="473" t="s">
        <v>108</v>
      </c>
      <c r="AL19" s="474">
        <v>60</v>
      </c>
    </row>
    <row r="20" spans="2:38">
      <c r="B20" s="825"/>
      <c r="C20" s="827"/>
      <c r="D20" s="457">
        <v>10</v>
      </c>
      <c r="E20" s="195" t="s">
        <v>475</v>
      </c>
      <c r="F20" s="464" t="s">
        <v>476</v>
      </c>
      <c r="G20" s="473" t="s">
        <v>108</v>
      </c>
      <c r="H20" s="473" t="s">
        <v>108</v>
      </c>
      <c r="I20" s="473" t="s">
        <v>108</v>
      </c>
      <c r="J20" s="473" t="s">
        <v>116</v>
      </c>
      <c r="K20" s="473" t="s">
        <v>901</v>
      </c>
      <c r="L20" s="473" t="s">
        <v>116</v>
      </c>
      <c r="M20" s="472" t="s">
        <v>117</v>
      </c>
      <c r="N20" s="474">
        <v>72</v>
      </c>
      <c r="O20" s="473" t="s">
        <v>108</v>
      </c>
      <c r="P20" s="473" t="s">
        <v>108</v>
      </c>
      <c r="Q20" s="475" t="s">
        <v>108</v>
      </c>
      <c r="R20" s="473" t="s">
        <v>116</v>
      </c>
      <c r="S20" s="473" t="s">
        <v>116</v>
      </c>
      <c r="T20" s="473" t="s">
        <v>116</v>
      </c>
      <c r="U20" s="472" t="s">
        <v>117</v>
      </c>
      <c r="V20" s="474">
        <v>72</v>
      </c>
      <c r="W20" s="473" t="s">
        <v>108</v>
      </c>
      <c r="X20" s="473" t="s">
        <v>108</v>
      </c>
      <c r="Y20" s="473" t="s">
        <v>108</v>
      </c>
      <c r="Z20" s="473" t="s">
        <v>116</v>
      </c>
      <c r="AA20" s="473" t="s">
        <v>116</v>
      </c>
      <c r="AB20" s="472" t="s">
        <v>117</v>
      </c>
      <c r="AC20" s="472" t="s">
        <v>117</v>
      </c>
      <c r="AD20" s="474">
        <v>60</v>
      </c>
      <c r="AE20" s="473" t="s">
        <v>108</v>
      </c>
      <c r="AF20" s="473" t="s">
        <v>108</v>
      </c>
      <c r="AG20" s="473" t="s">
        <v>108</v>
      </c>
      <c r="AH20" s="473" t="s">
        <v>116</v>
      </c>
      <c r="AI20" s="473" t="s">
        <v>116</v>
      </c>
      <c r="AJ20" s="473" t="s">
        <v>116</v>
      </c>
      <c r="AK20" s="472" t="s">
        <v>117</v>
      </c>
      <c r="AL20" s="474">
        <v>72</v>
      </c>
    </row>
    <row r="21" spans="2:38">
      <c r="B21" s="825"/>
      <c r="C21" s="828" t="s">
        <v>181</v>
      </c>
      <c r="D21" s="457">
        <v>11</v>
      </c>
      <c r="E21" s="195" t="s">
        <v>494</v>
      </c>
      <c r="F21" s="464" t="s">
        <v>495</v>
      </c>
      <c r="G21" s="472" t="s">
        <v>117</v>
      </c>
      <c r="H21" s="473" t="s">
        <v>108</v>
      </c>
      <c r="I21" s="473" t="s">
        <v>108</v>
      </c>
      <c r="J21" s="473" t="s">
        <v>108</v>
      </c>
      <c r="K21" s="473" t="s">
        <v>116</v>
      </c>
      <c r="L21" s="473" t="s">
        <v>116</v>
      </c>
      <c r="M21" s="475" t="s">
        <v>116</v>
      </c>
      <c r="N21" s="474">
        <v>72</v>
      </c>
      <c r="O21" s="472" t="s">
        <v>117</v>
      </c>
      <c r="P21" s="472" t="s">
        <v>117</v>
      </c>
      <c r="Q21" s="473" t="s">
        <v>108</v>
      </c>
      <c r="R21" s="473" t="s">
        <v>108</v>
      </c>
      <c r="S21" s="473" t="s">
        <v>116</v>
      </c>
      <c r="T21" s="473" t="s">
        <v>116</v>
      </c>
      <c r="U21" s="473" t="s">
        <v>116</v>
      </c>
      <c r="V21" s="474">
        <v>60</v>
      </c>
      <c r="W21" s="472" t="s">
        <v>117</v>
      </c>
      <c r="X21" s="473" t="s">
        <v>108</v>
      </c>
      <c r="Y21" s="473" t="s">
        <v>108</v>
      </c>
      <c r="Z21" s="473" t="s">
        <v>108</v>
      </c>
      <c r="AA21" s="473" t="s">
        <v>116</v>
      </c>
      <c r="AB21" s="473" t="s">
        <v>116</v>
      </c>
      <c r="AC21" s="475" t="s">
        <v>116</v>
      </c>
      <c r="AD21" s="474">
        <v>72</v>
      </c>
      <c r="AE21" s="472" t="s">
        <v>117</v>
      </c>
      <c r="AF21" s="472" t="s">
        <v>117</v>
      </c>
      <c r="AG21" s="473" t="s">
        <v>108</v>
      </c>
      <c r="AH21" s="473" t="s">
        <v>108</v>
      </c>
      <c r="AI21" s="473" t="s">
        <v>116</v>
      </c>
      <c r="AJ21" s="473" t="s">
        <v>116</v>
      </c>
      <c r="AK21" s="473" t="s">
        <v>116</v>
      </c>
      <c r="AL21" s="474">
        <v>60</v>
      </c>
    </row>
    <row r="22" spans="2:38">
      <c r="B22" s="825"/>
      <c r="C22" s="828"/>
      <c r="D22" s="457">
        <v>12</v>
      </c>
      <c r="E22" s="195" t="s">
        <v>428</v>
      </c>
      <c r="F22" s="464" t="s">
        <v>477</v>
      </c>
      <c r="G22" s="475" t="s">
        <v>116</v>
      </c>
      <c r="H22" s="472" t="s">
        <v>117</v>
      </c>
      <c r="I22" s="472" t="s">
        <v>117</v>
      </c>
      <c r="J22" s="473" t="s">
        <v>108</v>
      </c>
      <c r="K22" s="473" t="s">
        <v>108</v>
      </c>
      <c r="L22" s="473" t="s">
        <v>108</v>
      </c>
      <c r="M22" s="473" t="s">
        <v>116</v>
      </c>
      <c r="N22" s="474">
        <v>60</v>
      </c>
      <c r="O22" s="475" t="s">
        <v>116</v>
      </c>
      <c r="P22" s="475" t="s">
        <v>116</v>
      </c>
      <c r="Q22" s="472" t="s">
        <v>117</v>
      </c>
      <c r="R22" s="473" t="s">
        <v>108</v>
      </c>
      <c r="S22" s="473" t="s">
        <v>108</v>
      </c>
      <c r="T22" s="473" t="s">
        <v>108</v>
      </c>
      <c r="U22" s="473" t="s">
        <v>116</v>
      </c>
      <c r="V22" s="474">
        <v>72</v>
      </c>
      <c r="W22" s="475" t="s">
        <v>116</v>
      </c>
      <c r="X22" s="472" t="s">
        <v>117</v>
      </c>
      <c r="Y22" s="472" t="s">
        <v>117</v>
      </c>
      <c r="Z22" s="473" t="s">
        <v>108</v>
      </c>
      <c r="AA22" s="473" t="s">
        <v>108</v>
      </c>
      <c r="AB22" s="473" t="s">
        <v>116</v>
      </c>
      <c r="AC22" s="473" t="s">
        <v>116</v>
      </c>
      <c r="AD22" s="474">
        <v>60</v>
      </c>
      <c r="AE22" s="475" t="s">
        <v>116</v>
      </c>
      <c r="AF22" s="475" t="s">
        <v>116</v>
      </c>
      <c r="AG22" s="472" t="s">
        <v>117</v>
      </c>
      <c r="AH22" s="473" t="s">
        <v>108</v>
      </c>
      <c r="AI22" s="473" t="s">
        <v>108</v>
      </c>
      <c r="AJ22" s="473" t="s">
        <v>116</v>
      </c>
      <c r="AK22" s="473" t="s">
        <v>116</v>
      </c>
      <c r="AL22" s="474">
        <v>72</v>
      </c>
    </row>
    <row r="23" spans="2:38">
      <c r="B23" s="825"/>
      <c r="C23" s="828" t="s">
        <v>182</v>
      </c>
      <c r="D23" s="457">
        <v>13</v>
      </c>
      <c r="E23" s="195" t="s">
        <v>478</v>
      </c>
      <c r="F23" s="464" t="s">
        <v>479</v>
      </c>
      <c r="G23" s="473" t="s">
        <v>108</v>
      </c>
      <c r="H23" s="473" t="s">
        <v>116</v>
      </c>
      <c r="I23" s="473" t="s">
        <v>116</v>
      </c>
      <c r="J23" s="472" t="s">
        <v>117</v>
      </c>
      <c r="K23" s="473" t="s">
        <v>108</v>
      </c>
      <c r="L23" s="473" t="s">
        <v>108</v>
      </c>
      <c r="M23" s="475" t="s">
        <v>108</v>
      </c>
      <c r="N23" s="474">
        <v>72</v>
      </c>
      <c r="O23" s="473" t="s">
        <v>116</v>
      </c>
      <c r="P23" s="473" t="s">
        <v>116</v>
      </c>
      <c r="Q23" s="473" t="s">
        <v>116</v>
      </c>
      <c r="R23" s="472" t="s">
        <v>117</v>
      </c>
      <c r="S23" s="472" t="s">
        <v>117</v>
      </c>
      <c r="T23" s="473" t="s">
        <v>108</v>
      </c>
      <c r="U23" s="475" t="s">
        <v>108</v>
      </c>
      <c r="V23" s="474">
        <v>60</v>
      </c>
      <c r="W23" s="473" t="s">
        <v>116</v>
      </c>
      <c r="X23" s="473" t="s">
        <v>116</v>
      </c>
      <c r="Y23" s="473" t="s">
        <v>116</v>
      </c>
      <c r="Z23" s="472" t="s">
        <v>117</v>
      </c>
      <c r="AA23" s="473" t="s">
        <v>108</v>
      </c>
      <c r="AB23" s="473" t="s">
        <v>108</v>
      </c>
      <c r="AC23" s="475" t="s">
        <v>108</v>
      </c>
      <c r="AD23" s="474">
        <v>72</v>
      </c>
      <c r="AE23" s="473" t="s">
        <v>116</v>
      </c>
      <c r="AF23" s="473" t="s">
        <v>116</v>
      </c>
      <c r="AG23" s="473" t="s">
        <v>116</v>
      </c>
      <c r="AH23" s="472" t="s">
        <v>117</v>
      </c>
      <c r="AI23" s="473" t="s">
        <v>108</v>
      </c>
      <c r="AJ23" s="473" t="s">
        <v>108</v>
      </c>
      <c r="AK23" s="475" t="s">
        <v>108</v>
      </c>
      <c r="AL23" s="474">
        <v>72</v>
      </c>
    </row>
    <row r="24" spans="2:38">
      <c r="B24" s="825"/>
      <c r="C24" s="828"/>
      <c r="D24" s="457">
        <v>14</v>
      </c>
      <c r="E24" s="195" t="s">
        <v>480</v>
      </c>
      <c r="F24" s="464" t="s">
        <v>481</v>
      </c>
      <c r="G24" s="473" t="s">
        <v>108</v>
      </c>
      <c r="H24" s="473" t="s">
        <v>116</v>
      </c>
      <c r="I24" s="473" t="s">
        <v>116</v>
      </c>
      <c r="J24" s="475" t="s">
        <v>116</v>
      </c>
      <c r="K24" s="472" t="s">
        <v>117</v>
      </c>
      <c r="L24" s="472" t="s">
        <v>117</v>
      </c>
      <c r="M24" s="473" t="s">
        <v>108</v>
      </c>
      <c r="N24" s="474">
        <v>60</v>
      </c>
      <c r="O24" s="473" t="s">
        <v>108</v>
      </c>
      <c r="P24" s="473" t="s">
        <v>108</v>
      </c>
      <c r="Q24" s="473" t="s">
        <v>108</v>
      </c>
      <c r="R24" s="473" t="s">
        <v>116</v>
      </c>
      <c r="S24" s="473" t="s">
        <v>116</v>
      </c>
      <c r="T24" s="472" t="s">
        <v>117</v>
      </c>
      <c r="U24" s="473" t="s">
        <v>108</v>
      </c>
      <c r="V24" s="474">
        <v>72</v>
      </c>
      <c r="W24" s="473" t="s">
        <v>108</v>
      </c>
      <c r="X24" s="473" t="s">
        <v>116</v>
      </c>
      <c r="Y24" s="473" t="s">
        <v>116</v>
      </c>
      <c r="Z24" s="475" t="s">
        <v>116</v>
      </c>
      <c r="AA24" s="472" t="s">
        <v>117</v>
      </c>
      <c r="AB24" s="473" t="s">
        <v>108</v>
      </c>
      <c r="AC24" s="473" t="s">
        <v>108</v>
      </c>
      <c r="AD24" s="474">
        <v>72</v>
      </c>
      <c r="AE24" s="473" t="s">
        <v>108</v>
      </c>
      <c r="AF24" s="473" t="s">
        <v>108</v>
      </c>
      <c r="AG24" s="473" t="s">
        <v>116</v>
      </c>
      <c r="AH24" s="473" t="s">
        <v>116</v>
      </c>
      <c r="AI24" s="472" t="s">
        <v>117</v>
      </c>
      <c r="AJ24" s="472" t="s">
        <v>117</v>
      </c>
      <c r="AK24" s="473" t="s">
        <v>108</v>
      </c>
      <c r="AL24" s="474">
        <v>60</v>
      </c>
    </row>
    <row r="25" spans="2:38">
      <c r="B25" s="825"/>
      <c r="C25" s="828"/>
      <c r="D25" s="457">
        <v>15</v>
      </c>
      <c r="E25" s="195" t="s">
        <v>731</v>
      </c>
      <c r="F25" s="464" t="s">
        <v>732</v>
      </c>
      <c r="G25" s="473" t="s">
        <v>108</v>
      </c>
      <c r="H25" s="473" t="s">
        <v>108</v>
      </c>
      <c r="I25" s="473" t="s">
        <v>108</v>
      </c>
      <c r="J25" s="473" t="s">
        <v>116</v>
      </c>
      <c r="K25" s="473" t="s">
        <v>116</v>
      </c>
      <c r="L25" s="473" t="s">
        <v>116</v>
      </c>
      <c r="M25" s="472" t="s">
        <v>117</v>
      </c>
      <c r="N25" s="474">
        <v>72</v>
      </c>
      <c r="O25" s="473" t="s">
        <v>108</v>
      </c>
      <c r="P25" s="473" t="s">
        <v>108</v>
      </c>
      <c r="Q25" s="473" t="s">
        <v>108</v>
      </c>
      <c r="R25" s="473" t="s">
        <v>116</v>
      </c>
      <c r="S25" s="473" t="s">
        <v>116</v>
      </c>
      <c r="T25" s="473" t="s">
        <v>116</v>
      </c>
      <c r="U25" s="472" t="s">
        <v>117</v>
      </c>
      <c r="V25" s="474">
        <v>72</v>
      </c>
      <c r="W25" s="473" t="s">
        <v>108</v>
      </c>
      <c r="X25" s="473" t="s">
        <v>108</v>
      </c>
      <c r="Y25" s="473" t="s">
        <v>108</v>
      </c>
      <c r="Z25" s="473" t="s">
        <v>116</v>
      </c>
      <c r="AA25" s="473" t="s">
        <v>116</v>
      </c>
      <c r="AB25" s="472" t="s">
        <v>117</v>
      </c>
      <c r="AC25" s="472" t="s">
        <v>117</v>
      </c>
      <c r="AD25" s="474">
        <v>60</v>
      </c>
      <c r="AE25" s="473" t="s">
        <v>108</v>
      </c>
      <c r="AF25" s="473" t="s">
        <v>108</v>
      </c>
      <c r="AG25" s="473" t="s">
        <v>108</v>
      </c>
      <c r="AH25" s="473" t="s">
        <v>116</v>
      </c>
      <c r="AI25" s="473" t="s">
        <v>116</v>
      </c>
      <c r="AJ25" s="473" t="s">
        <v>116</v>
      </c>
      <c r="AK25" s="472" t="s">
        <v>117</v>
      </c>
      <c r="AL25" s="474">
        <v>72</v>
      </c>
    </row>
    <row r="26" spans="2:38">
      <c r="B26" s="825"/>
      <c r="C26" s="829" t="s">
        <v>183</v>
      </c>
      <c r="D26" s="457">
        <v>16</v>
      </c>
      <c r="E26" s="195" t="s">
        <v>484</v>
      </c>
      <c r="F26" s="464" t="s">
        <v>485</v>
      </c>
      <c r="G26" s="472" t="s">
        <v>117</v>
      </c>
      <c r="H26" s="473" t="s">
        <v>108</v>
      </c>
      <c r="I26" s="473" t="s">
        <v>108</v>
      </c>
      <c r="J26" s="473" t="s">
        <v>108</v>
      </c>
      <c r="K26" s="473" t="s">
        <v>116</v>
      </c>
      <c r="L26" s="473" t="s">
        <v>116</v>
      </c>
      <c r="M26" s="473" t="s">
        <v>116</v>
      </c>
      <c r="N26" s="474">
        <v>72</v>
      </c>
      <c r="O26" s="472" t="s">
        <v>117</v>
      </c>
      <c r="P26" s="473" t="s">
        <v>108</v>
      </c>
      <c r="Q26" s="473" t="s">
        <v>108</v>
      </c>
      <c r="R26" s="473" t="s">
        <v>108</v>
      </c>
      <c r="S26" s="473" t="s">
        <v>108</v>
      </c>
      <c r="T26" s="473" t="s">
        <v>116</v>
      </c>
      <c r="U26" s="473" t="s">
        <v>116</v>
      </c>
      <c r="V26" s="474">
        <v>72</v>
      </c>
      <c r="W26" s="472" t="s">
        <v>117</v>
      </c>
      <c r="X26" s="472" t="s">
        <v>117</v>
      </c>
      <c r="Y26" s="473" t="s">
        <v>108</v>
      </c>
      <c r="Z26" s="473" t="s">
        <v>108</v>
      </c>
      <c r="AA26" s="473" t="s">
        <v>116</v>
      </c>
      <c r="AB26" s="473" t="s">
        <v>116</v>
      </c>
      <c r="AC26" s="473" t="s">
        <v>116</v>
      </c>
      <c r="AD26" s="474">
        <v>60</v>
      </c>
      <c r="AE26" s="472" t="s">
        <v>117</v>
      </c>
      <c r="AF26" s="473" t="s">
        <v>108</v>
      </c>
      <c r="AG26" s="473" t="s">
        <v>108</v>
      </c>
      <c r="AH26" s="473" t="s">
        <v>116</v>
      </c>
      <c r="AI26" s="473" t="s">
        <v>116</v>
      </c>
      <c r="AJ26" s="473" t="s">
        <v>116</v>
      </c>
      <c r="AK26" s="473" t="s">
        <v>116</v>
      </c>
      <c r="AL26" s="474">
        <v>72</v>
      </c>
    </row>
    <row r="27" spans="2:38">
      <c r="B27" s="825"/>
      <c r="C27" s="829"/>
      <c r="D27" s="457">
        <v>17</v>
      </c>
      <c r="E27" s="195" t="s">
        <v>486</v>
      </c>
      <c r="F27" s="464" t="s">
        <v>487</v>
      </c>
      <c r="G27" s="473" t="s">
        <v>116</v>
      </c>
      <c r="H27" s="472" t="s">
        <v>117</v>
      </c>
      <c r="I27" s="476" t="s">
        <v>108</v>
      </c>
      <c r="J27" s="476" t="s">
        <v>108</v>
      </c>
      <c r="K27" s="476" t="s">
        <v>108</v>
      </c>
      <c r="L27" s="476" t="s">
        <v>108</v>
      </c>
      <c r="M27" s="473" t="s">
        <v>116</v>
      </c>
      <c r="N27" s="474">
        <v>72</v>
      </c>
      <c r="O27" s="473" t="s">
        <v>116</v>
      </c>
      <c r="P27" s="472" t="s">
        <v>117</v>
      </c>
      <c r="Q27" s="472" t="s">
        <v>117</v>
      </c>
      <c r="R27" s="473" t="s">
        <v>108</v>
      </c>
      <c r="S27" s="473" t="s">
        <v>108</v>
      </c>
      <c r="T27" s="473" t="s">
        <v>116</v>
      </c>
      <c r="U27" s="473" t="s">
        <v>116</v>
      </c>
      <c r="V27" s="474">
        <v>60</v>
      </c>
      <c r="W27" s="473" t="s">
        <v>116</v>
      </c>
      <c r="X27" s="473" t="s">
        <v>116</v>
      </c>
      <c r="Y27" s="472" t="s">
        <v>117</v>
      </c>
      <c r="Z27" s="473" t="s">
        <v>108</v>
      </c>
      <c r="AA27" s="473" t="s">
        <v>116</v>
      </c>
      <c r="AB27" s="473" t="s">
        <v>116</v>
      </c>
      <c r="AC27" s="473" t="s">
        <v>116</v>
      </c>
      <c r="AD27" s="474">
        <v>72</v>
      </c>
      <c r="AE27" s="473" t="s">
        <v>116</v>
      </c>
      <c r="AF27" s="472" t="s">
        <v>117</v>
      </c>
      <c r="AG27" s="475" t="s">
        <v>108</v>
      </c>
      <c r="AH27" s="475" t="s">
        <v>108</v>
      </c>
      <c r="AI27" s="475" t="s">
        <v>116</v>
      </c>
      <c r="AJ27" s="475" t="s">
        <v>116</v>
      </c>
      <c r="AK27" s="473" t="s">
        <v>116</v>
      </c>
      <c r="AL27" s="474">
        <v>72</v>
      </c>
    </row>
    <row r="28" spans="2:38">
      <c r="B28" s="825" t="s">
        <v>184</v>
      </c>
      <c r="C28" s="349" t="s">
        <v>185</v>
      </c>
      <c r="D28" s="457">
        <v>18</v>
      </c>
      <c r="E28" s="195" t="s">
        <v>488</v>
      </c>
      <c r="F28" s="464" t="s">
        <v>489</v>
      </c>
      <c r="G28" s="621" t="s">
        <v>116</v>
      </c>
      <c r="H28" s="621" t="s">
        <v>116</v>
      </c>
      <c r="I28" s="472" t="s">
        <v>117</v>
      </c>
      <c r="J28" s="477" t="s">
        <v>108</v>
      </c>
      <c r="K28" s="477" t="s">
        <v>108</v>
      </c>
      <c r="L28" s="477" t="s">
        <v>108</v>
      </c>
      <c r="M28" s="477" t="s">
        <v>108</v>
      </c>
      <c r="N28" s="474">
        <v>72</v>
      </c>
      <c r="O28" s="477" t="s">
        <v>116</v>
      </c>
      <c r="P28" s="472" t="s">
        <v>117</v>
      </c>
      <c r="Q28" s="472" t="s">
        <v>117</v>
      </c>
      <c r="R28" s="477" t="s">
        <v>108</v>
      </c>
      <c r="S28" s="477" t="s">
        <v>108</v>
      </c>
      <c r="T28" s="477" t="s">
        <v>108</v>
      </c>
      <c r="U28" s="477" t="s">
        <v>108</v>
      </c>
      <c r="V28" s="474">
        <v>60</v>
      </c>
      <c r="W28" s="477" t="s">
        <v>116</v>
      </c>
      <c r="X28" s="477" t="s">
        <v>116</v>
      </c>
      <c r="Y28" s="472" t="s">
        <v>117</v>
      </c>
      <c r="Z28" s="477" t="s">
        <v>108</v>
      </c>
      <c r="AA28" s="477" t="s">
        <v>108</v>
      </c>
      <c r="AB28" s="477" t="s">
        <v>108</v>
      </c>
      <c r="AC28" s="477" t="s">
        <v>108</v>
      </c>
      <c r="AD28" s="474">
        <v>72</v>
      </c>
      <c r="AE28" s="477" t="s">
        <v>116</v>
      </c>
      <c r="AF28" s="472" t="s">
        <v>117</v>
      </c>
      <c r="AG28" s="472" t="s">
        <v>117</v>
      </c>
      <c r="AH28" s="477" t="s">
        <v>108</v>
      </c>
      <c r="AI28" s="477" t="s">
        <v>108</v>
      </c>
      <c r="AJ28" s="477" t="s">
        <v>108</v>
      </c>
      <c r="AK28" s="477" t="s">
        <v>108</v>
      </c>
      <c r="AL28" s="474">
        <v>60</v>
      </c>
    </row>
    <row r="29" spans="2:38">
      <c r="B29" s="825"/>
      <c r="C29" s="825" t="s">
        <v>186</v>
      </c>
      <c r="D29" s="457">
        <v>19</v>
      </c>
      <c r="E29" s="195" t="s">
        <v>727</v>
      </c>
      <c r="F29" s="464" t="s">
        <v>728</v>
      </c>
      <c r="G29" s="473" t="s">
        <v>116</v>
      </c>
      <c r="H29" s="473" t="s">
        <v>116</v>
      </c>
      <c r="I29" s="472" t="s">
        <v>117</v>
      </c>
      <c r="J29" s="472" t="s">
        <v>117</v>
      </c>
      <c r="K29" s="476" t="s">
        <v>108</v>
      </c>
      <c r="L29" s="476" t="s">
        <v>108</v>
      </c>
      <c r="M29" s="476" t="s">
        <v>108</v>
      </c>
      <c r="N29" s="474">
        <v>60</v>
      </c>
      <c r="O29" s="476" t="s">
        <v>108</v>
      </c>
      <c r="P29" s="473" t="s">
        <v>116</v>
      </c>
      <c r="Q29" s="473" t="s">
        <v>116</v>
      </c>
      <c r="R29" s="472" t="s">
        <v>117</v>
      </c>
      <c r="S29" s="472" t="s">
        <v>117</v>
      </c>
      <c r="T29" s="476" t="s">
        <v>108</v>
      </c>
      <c r="U29" s="476" t="s">
        <v>108</v>
      </c>
      <c r="V29" s="474">
        <v>60</v>
      </c>
      <c r="W29" s="476" t="s">
        <v>108</v>
      </c>
      <c r="X29" s="473" t="s">
        <v>116</v>
      </c>
      <c r="Y29" s="473" t="s">
        <v>116</v>
      </c>
      <c r="Z29" s="472" t="s">
        <v>117</v>
      </c>
      <c r="AA29" s="473" t="s">
        <v>108</v>
      </c>
      <c r="AB29" s="473" t="s">
        <v>108</v>
      </c>
      <c r="AC29" s="473" t="s">
        <v>108</v>
      </c>
      <c r="AD29" s="474">
        <v>72</v>
      </c>
      <c r="AE29" s="476" t="s">
        <v>108</v>
      </c>
      <c r="AF29" s="473" t="s">
        <v>116</v>
      </c>
      <c r="AG29" s="472" t="s">
        <v>117</v>
      </c>
      <c r="AH29" s="476" t="s">
        <v>108</v>
      </c>
      <c r="AI29" s="476" t="s">
        <v>108</v>
      </c>
      <c r="AJ29" s="476" t="s">
        <v>108</v>
      </c>
      <c r="AK29" s="476" t="s">
        <v>108</v>
      </c>
      <c r="AL29" s="474">
        <v>72</v>
      </c>
    </row>
    <row r="30" spans="2:38">
      <c r="B30" s="825"/>
      <c r="C30" s="825"/>
      <c r="D30" s="457">
        <v>20</v>
      </c>
      <c r="E30" s="195" t="s">
        <v>849</v>
      </c>
      <c r="F30" s="464" t="s">
        <v>824</v>
      </c>
      <c r="G30" s="473" t="s">
        <v>108</v>
      </c>
      <c r="H30" s="473" t="s">
        <v>108</v>
      </c>
      <c r="I30" s="473" t="s">
        <v>116</v>
      </c>
      <c r="J30" s="473" t="s">
        <v>116</v>
      </c>
      <c r="K30" s="472" t="s">
        <v>117</v>
      </c>
      <c r="L30" s="472" t="s">
        <v>117</v>
      </c>
      <c r="M30" s="475" t="s">
        <v>108</v>
      </c>
      <c r="N30" s="474">
        <v>60</v>
      </c>
      <c r="O30" s="473" t="s">
        <v>108</v>
      </c>
      <c r="P30" s="473" t="s">
        <v>116</v>
      </c>
      <c r="Q30" s="473" t="s">
        <v>116</v>
      </c>
      <c r="R30" s="473" t="s">
        <v>116</v>
      </c>
      <c r="S30" s="472" t="s">
        <v>117</v>
      </c>
      <c r="T30" s="475" t="s">
        <v>108</v>
      </c>
      <c r="U30" s="475" t="s">
        <v>108</v>
      </c>
      <c r="V30" s="474">
        <v>72</v>
      </c>
      <c r="W30" s="473" t="s">
        <v>108</v>
      </c>
      <c r="X30" s="473" t="s">
        <v>116</v>
      </c>
      <c r="Y30" s="473" t="s">
        <v>116</v>
      </c>
      <c r="Z30" s="473" t="s">
        <v>116</v>
      </c>
      <c r="AA30" s="472" t="s">
        <v>117</v>
      </c>
      <c r="AB30" s="475" t="s">
        <v>108</v>
      </c>
      <c r="AC30" s="475" t="s">
        <v>108</v>
      </c>
      <c r="AD30" s="474">
        <v>72</v>
      </c>
      <c r="AE30" s="473" t="s">
        <v>108</v>
      </c>
      <c r="AF30" s="475" t="s">
        <v>116</v>
      </c>
      <c r="AG30" s="475" t="s">
        <v>116</v>
      </c>
      <c r="AH30" s="472" t="s">
        <v>117</v>
      </c>
      <c r="AI30" s="472" t="s">
        <v>117</v>
      </c>
      <c r="AJ30" s="475" t="s">
        <v>108</v>
      </c>
      <c r="AK30" s="475" t="s">
        <v>108</v>
      </c>
      <c r="AL30" s="474">
        <v>60</v>
      </c>
    </row>
    <row r="31" spans="2:38">
      <c r="B31" s="825"/>
      <c r="C31" s="350" t="s">
        <v>187</v>
      </c>
      <c r="D31" s="457">
        <v>21</v>
      </c>
      <c r="E31" s="195" t="s">
        <v>490</v>
      </c>
      <c r="F31" s="464" t="s">
        <v>491</v>
      </c>
      <c r="G31" s="473" t="s">
        <v>108</v>
      </c>
      <c r="H31" s="473" t="s">
        <v>108</v>
      </c>
      <c r="I31" s="473" t="s">
        <v>116</v>
      </c>
      <c r="J31" s="473" t="s">
        <v>116</v>
      </c>
      <c r="K31" s="473" t="s">
        <v>116</v>
      </c>
      <c r="L31" s="472" t="s">
        <v>117</v>
      </c>
      <c r="M31" s="473" t="s">
        <v>108</v>
      </c>
      <c r="N31" s="474">
        <v>72</v>
      </c>
      <c r="O31" s="473" t="s">
        <v>108</v>
      </c>
      <c r="P31" s="473" t="s">
        <v>108</v>
      </c>
      <c r="Q31" s="473" t="s">
        <v>116</v>
      </c>
      <c r="R31" s="475" t="s">
        <v>116</v>
      </c>
      <c r="S31" s="475" t="s">
        <v>116</v>
      </c>
      <c r="T31" s="472" t="s">
        <v>117</v>
      </c>
      <c r="U31" s="473" t="s">
        <v>108</v>
      </c>
      <c r="V31" s="474">
        <v>72</v>
      </c>
      <c r="W31" s="473" t="s">
        <v>108</v>
      </c>
      <c r="X31" s="473" t="s">
        <v>108</v>
      </c>
      <c r="Y31" s="473" t="s">
        <v>108</v>
      </c>
      <c r="Z31" s="473" t="s">
        <v>116</v>
      </c>
      <c r="AA31" s="472" t="s">
        <v>117</v>
      </c>
      <c r="AB31" s="472" t="s">
        <v>117</v>
      </c>
      <c r="AC31" s="473" t="s">
        <v>108</v>
      </c>
      <c r="AD31" s="474">
        <v>60</v>
      </c>
      <c r="AE31" s="473" t="s">
        <v>108</v>
      </c>
      <c r="AF31" s="473" t="s">
        <v>108</v>
      </c>
      <c r="AG31" s="473" t="s">
        <v>116</v>
      </c>
      <c r="AH31" s="475" t="s">
        <v>116</v>
      </c>
      <c r="AI31" s="472" t="s">
        <v>117</v>
      </c>
      <c r="AJ31" s="473" t="s">
        <v>108</v>
      </c>
      <c r="AK31" s="473" t="s">
        <v>108</v>
      </c>
      <c r="AL31" s="474">
        <v>72</v>
      </c>
    </row>
    <row r="32" spans="2:38">
      <c r="B32" s="351" t="s">
        <v>190</v>
      </c>
      <c r="C32" s="349"/>
      <c r="D32" s="457">
        <v>22</v>
      </c>
      <c r="E32" s="195" t="s">
        <v>467</v>
      </c>
      <c r="F32" s="464" t="s">
        <v>468</v>
      </c>
      <c r="G32" s="473" t="s">
        <v>108</v>
      </c>
      <c r="H32" s="477" t="s">
        <v>108</v>
      </c>
      <c r="I32" s="473" t="s">
        <v>108</v>
      </c>
      <c r="J32" s="473" t="s">
        <v>116</v>
      </c>
      <c r="K32" s="473" t="s">
        <v>116</v>
      </c>
      <c r="L32" s="473" t="s">
        <v>116</v>
      </c>
      <c r="M32" s="472" t="s">
        <v>117</v>
      </c>
      <c r="N32" s="474">
        <v>72</v>
      </c>
      <c r="O32" s="473" t="s">
        <v>108</v>
      </c>
      <c r="P32" s="473" t="s">
        <v>108</v>
      </c>
      <c r="Q32" s="473" t="s">
        <v>108</v>
      </c>
      <c r="R32" s="475" t="s">
        <v>116</v>
      </c>
      <c r="S32" s="475" t="s">
        <v>116</v>
      </c>
      <c r="T32" s="475" t="s">
        <v>116</v>
      </c>
      <c r="U32" s="472" t="s">
        <v>117</v>
      </c>
      <c r="V32" s="474">
        <v>72</v>
      </c>
      <c r="W32" s="473" t="s">
        <v>108</v>
      </c>
      <c r="X32" s="473" t="s">
        <v>108</v>
      </c>
      <c r="Y32" s="473" t="s">
        <v>108</v>
      </c>
      <c r="Z32" s="473" t="s">
        <v>116</v>
      </c>
      <c r="AA32" s="473" t="s">
        <v>116</v>
      </c>
      <c r="AB32" s="472" t="s">
        <v>117</v>
      </c>
      <c r="AC32" s="472" t="s">
        <v>117</v>
      </c>
      <c r="AD32" s="474">
        <v>60</v>
      </c>
      <c r="AE32" s="473" t="s">
        <v>108</v>
      </c>
      <c r="AF32" s="473" t="s">
        <v>108</v>
      </c>
      <c r="AG32" s="473" t="s">
        <v>108</v>
      </c>
      <c r="AH32" s="475" t="s">
        <v>116</v>
      </c>
      <c r="AI32" s="475" t="s">
        <v>116</v>
      </c>
      <c r="AJ32" s="472" t="s">
        <v>117</v>
      </c>
      <c r="AK32" s="472" t="s">
        <v>117</v>
      </c>
      <c r="AL32" s="474">
        <v>60</v>
      </c>
    </row>
    <row r="33" spans="2:38">
      <c r="B33" s="352" t="s">
        <v>188</v>
      </c>
      <c r="C33" s="349" t="s">
        <v>189</v>
      </c>
      <c r="D33" s="457">
        <v>23</v>
      </c>
      <c r="E33" s="195" t="s">
        <v>494</v>
      </c>
      <c r="F33" s="464" t="s">
        <v>495</v>
      </c>
      <c r="G33" s="478" t="s">
        <v>104</v>
      </c>
      <c r="H33" s="478" t="s">
        <v>104</v>
      </c>
      <c r="I33" s="478" t="s">
        <v>104</v>
      </c>
      <c r="J33" s="478" t="s">
        <v>104</v>
      </c>
      <c r="K33" s="478" t="s">
        <v>104</v>
      </c>
      <c r="L33" s="478" t="s">
        <v>104</v>
      </c>
      <c r="M33" s="472" t="s">
        <v>117</v>
      </c>
      <c r="N33" s="479">
        <v>48</v>
      </c>
      <c r="O33" s="478" t="s">
        <v>104</v>
      </c>
      <c r="P33" s="478" t="s">
        <v>104</v>
      </c>
      <c r="Q33" s="478" t="s">
        <v>104</v>
      </c>
      <c r="R33" s="478" t="s">
        <v>104</v>
      </c>
      <c r="S33" s="478" t="s">
        <v>104</v>
      </c>
      <c r="T33" s="478" t="s">
        <v>104</v>
      </c>
      <c r="U33" s="472" t="s">
        <v>117</v>
      </c>
      <c r="V33" s="479">
        <v>48</v>
      </c>
      <c r="W33" s="478" t="s">
        <v>104</v>
      </c>
      <c r="X33" s="478" t="s">
        <v>104</v>
      </c>
      <c r="Y33" s="478" t="s">
        <v>104</v>
      </c>
      <c r="Z33" s="478" t="s">
        <v>104</v>
      </c>
      <c r="AA33" s="478" t="s">
        <v>104</v>
      </c>
      <c r="AB33" s="478" t="s">
        <v>104</v>
      </c>
      <c r="AC33" s="472" t="s">
        <v>117</v>
      </c>
      <c r="AD33" s="479">
        <v>48</v>
      </c>
      <c r="AE33" s="478" t="s">
        <v>104</v>
      </c>
      <c r="AF33" s="478" t="s">
        <v>104</v>
      </c>
      <c r="AG33" s="478" t="s">
        <v>104</v>
      </c>
      <c r="AH33" s="478" t="s">
        <v>104</v>
      </c>
      <c r="AI33" s="478" t="s">
        <v>104</v>
      </c>
      <c r="AJ33" s="478" t="s">
        <v>104</v>
      </c>
      <c r="AK33" s="472" t="s">
        <v>117</v>
      </c>
      <c r="AL33" s="479">
        <v>48</v>
      </c>
    </row>
    <row r="34" spans="2:38">
      <c r="B34" s="337" t="s">
        <v>693</v>
      </c>
      <c r="C34" s="340" t="s">
        <v>191</v>
      </c>
      <c r="D34" s="457">
        <v>24</v>
      </c>
      <c r="E34" s="195" t="s">
        <v>887</v>
      </c>
      <c r="F34" s="464" t="s">
        <v>888</v>
      </c>
      <c r="G34" s="473" t="s">
        <v>137</v>
      </c>
      <c r="H34" s="473" t="s">
        <v>137</v>
      </c>
      <c r="I34" s="473" t="s">
        <v>137</v>
      </c>
      <c r="J34" s="473" t="s">
        <v>137</v>
      </c>
      <c r="K34" s="473" t="s">
        <v>137</v>
      </c>
      <c r="L34" s="472" t="s">
        <v>117</v>
      </c>
      <c r="M34" s="473" t="s">
        <v>192</v>
      </c>
      <c r="N34" s="481">
        <v>40</v>
      </c>
      <c r="O34" s="473" t="s">
        <v>137</v>
      </c>
      <c r="P34" s="473" t="s">
        <v>137</v>
      </c>
      <c r="Q34" s="473" t="s">
        <v>137</v>
      </c>
      <c r="R34" s="473" t="s">
        <v>137</v>
      </c>
      <c r="S34" s="473" t="s">
        <v>137</v>
      </c>
      <c r="T34" s="472" t="s">
        <v>117</v>
      </c>
      <c r="U34" s="473" t="s">
        <v>192</v>
      </c>
      <c r="V34" s="481">
        <v>40</v>
      </c>
      <c r="W34" s="473" t="s">
        <v>137</v>
      </c>
      <c r="X34" s="473" t="s">
        <v>137</v>
      </c>
      <c r="Y34" s="473" t="s">
        <v>137</v>
      </c>
      <c r="Z34" s="473" t="s">
        <v>137</v>
      </c>
      <c r="AA34" s="473" t="s">
        <v>137</v>
      </c>
      <c r="AB34" s="472" t="s">
        <v>117</v>
      </c>
      <c r="AC34" s="473" t="s">
        <v>192</v>
      </c>
      <c r="AD34" s="481">
        <v>40</v>
      </c>
      <c r="AE34" s="473" t="s">
        <v>137</v>
      </c>
      <c r="AF34" s="473" t="s">
        <v>137</v>
      </c>
      <c r="AG34" s="473" t="s">
        <v>137</v>
      </c>
      <c r="AH34" s="473" t="s">
        <v>137</v>
      </c>
      <c r="AI34" s="473" t="s">
        <v>137</v>
      </c>
      <c r="AJ34" s="472" t="s">
        <v>117</v>
      </c>
      <c r="AK34" s="473" t="s">
        <v>192</v>
      </c>
      <c r="AL34" s="481">
        <v>40</v>
      </c>
    </row>
    <row r="35" spans="2:38">
      <c r="E35" s="454"/>
      <c r="F35" s="454"/>
      <c r="L35" s="480" t="s">
        <v>192</v>
      </c>
      <c r="N35" s="132"/>
      <c r="T35" s="480" t="s">
        <v>192</v>
      </c>
      <c r="V35" s="132"/>
      <c r="AB35" s="480" t="s">
        <v>192</v>
      </c>
      <c r="AD35" s="132"/>
      <c r="AJ35" s="480" t="s">
        <v>192</v>
      </c>
      <c r="AL35" s="132"/>
    </row>
    <row r="36" spans="2:38">
      <c r="D36" s="460" t="s">
        <v>132</v>
      </c>
      <c r="E36" s="460" t="s">
        <v>133</v>
      </c>
      <c r="F36" s="460" t="s">
        <v>101</v>
      </c>
      <c r="L36" s="475"/>
      <c r="N36" s="132"/>
      <c r="V36" s="132"/>
      <c r="AD36" s="132"/>
      <c r="AL36" s="132"/>
    </row>
    <row r="37" spans="2:38">
      <c r="D37" s="459" t="s">
        <v>108</v>
      </c>
      <c r="E37" s="461" t="s">
        <v>202</v>
      </c>
      <c r="F37" s="461" t="s">
        <v>326</v>
      </c>
      <c r="N37" s="132"/>
      <c r="V37" s="132"/>
      <c r="AD37" s="132"/>
      <c r="AL37" s="132"/>
    </row>
    <row r="38" spans="2:38">
      <c r="D38" s="458" t="s">
        <v>117</v>
      </c>
      <c r="E38" s="461" t="s">
        <v>119</v>
      </c>
      <c r="F38" s="461" t="s">
        <v>326</v>
      </c>
      <c r="N38" s="132"/>
      <c r="V38" s="132"/>
      <c r="AD38" s="132"/>
      <c r="AL38" s="132"/>
    </row>
    <row r="39" spans="2:38">
      <c r="D39" s="459" t="s">
        <v>116</v>
      </c>
      <c r="E39" s="459" t="s">
        <v>134</v>
      </c>
      <c r="F39" s="459" t="s">
        <v>326</v>
      </c>
      <c r="N39" s="132"/>
      <c r="V39" s="132"/>
      <c r="AD39" s="132"/>
      <c r="AL39" s="132"/>
    </row>
    <row r="40" spans="2:38">
      <c r="D40" s="461" t="s">
        <v>104</v>
      </c>
      <c r="E40" s="461" t="s">
        <v>850</v>
      </c>
      <c r="F40" s="461" t="s">
        <v>326</v>
      </c>
      <c r="N40" s="132"/>
      <c r="V40" s="132"/>
      <c r="AD40" s="132"/>
      <c r="AL40" s="132"/>
    </row>
    <row r="41" spans="2:38">
      <c r="D41" s="461" t="s">
        <v>137</v>
      </c>
      <c r="E41" s="461" t="s">
        <v>851</v>
      </c>
      <c r="F41" s="461" t="s">
        <v>326</v>
      </c>
      <c r="N41" s="132"/>
      <c r="V41" s="132"/>
      <c r="AD41" s="132"/>
      <c r="AL41" s="132"/>
    </row>
    <row r="42" spans="2:38">
      <c r="D42" s="461" t="s">
        <v>192</v>
      </c>
      <c r="E42" s="461" t="s">
        <v>852</v>
      </c>
      <c r="F42" s="461" t="s">
        <v>326</v>
      </c>
      <c r="N42" s="132"/>
      <c r="V42" s="132"/>
      <c r="AD42" s="132"/>
      <c r="AL42" s="132"/>
    </row>
    <row r="43" spans="2:38">
      <c r="E43" s="454"/>
      <c r="F43" s="454"/>
      <c r="L43" s="128"/>
      <c r="T43" s="128"/>
      <c r="AB43" s="128"/>
      <c r="AJ43" s="128"/>
    </row>
    <row r="44" spans="2:38" ht="15" customHeight="1">
      <c r="B44" s="676" t="s">
        <v>126</v>
      </c>
      <c r="C44" s="676" t="s">
        <v>127</v>
      </c>
      <c r="D44" s="482" t="s">
        <v>101</v>
      </c>
      <c r="E44" s="482" t="s">
        <v>195</v>
      </c>
      <c r="F44" s="482" t="s">
        <v>102</v>
      </c>
      <c r="G44" s="483" t="s">
        <v>103</v>
      </c>
      <c r="H44" s="483" t="s">
        <v>104</v>
      </c>
      <c r="I44" s="483" t="s">
        <v>104</v>
      </c>
      <c r="J44" s="483" t="s">
        <v>105</v>
      </c>
      <c r="K44" s="483" t="s">
        <v>106</v>
      </c>
      <c r="L44" s="483" t="s">
        <v>107</v>
      </c>
      <c r="M44" s="483" t="s">
        <v>108</v>
      </c>
      <c r="N44" s="820" t="s">
        <v>109</v>
      </c>
      <c r="O44" s="484" t="s">
        <v>103</v>
      </c>
      <c r="P44" s="484" t="s">
        <v>104</v>
      </c>
      <c r="Q44" s="484" t="s">
        <v>104</v>
      </c>
      <c r="R44" s="484" t="s">
        <v>105</v>
      </c>
      <c r="S44" s="484" t="s">
        <v>106</v>
      </c>
      <c r="T44" s="484" t="s">
        <v>107</v>
      </c>
      <c r="U44" s="484" t="s">
        <v>108</v>
      </c>
      <c r="V44" s="820" t="s">
        <v>109</v>
      </c>
      <c r="W44" s="485" t="s">
        <v>103</v>
      </c>
      <c r="X44" s="485" t="s">
        <v>104</v>
      </c>
      <c r="Y44" s="485" t="s">
        <v>104</v>
      </c>
      <c r="Z44" s="485" t="s">
        <v>105</v>
      </c>
      <c r="AA44" s="485" t="s">
        <v>106</v>
      </c>
      <c r="AB44" s="485" t="s">
        <v>107</v>
      </c>
      <c r="AC44" s="485" t="s">
        <v>108</v>
      </c>
      <c r="AD44" s="820" t="s">
        <v>109</v>
      </c>
      <c r="AE44" s="486" t="s">
        <v>103</v>
      </c>
      <c r="AF44" s="486" t="s">
        <v>104</v>
      </c>
      <c r="AG44" s="486" t="s">
        <v>104</v>
      </c>
      <c r="AH44" s="487" t="s">
        <v>105</v>
      </c>
      <c r="AI44" s="487" t="s">
        <v>106</v>
      </c>
      <c r="AJ44" s="487" t="s">
        <v>107</v>
      </c>
      <c r="AK44" s="487" t="s">
        <v>108</v>
      </c>
      <c r="AL44" s="820" t="s">
        <v>109</v>
      </c>
    </row>
    <row r="45" spans="2:38">
      <c r="B45" s="676"/>
      <c r="C45" s="676"/>
      <c r="D45" s="482" t="s">
        <v>112</v>
      </c>
      <c r="E45" s="482" t="s">
        <v>845</v>
      </c>
      <c r="F45" s="482" t="s">
        <v>113</v>
      </c>
      <c r="G45" s="816">
        <v>7</v>
      </c>
      <c r="H45" s="816">
        <v>8</v>
      </c>
      <c r="I45" s="816">
        <v>9</v>
      </c>
      <c r="J45" s="816">
        <v>10</v>
      </c>
      <c r="K45" s="816">
        <v>11</v>
      </c>
      <c r="L45" s="816">
        <v>12</v>
      </c>
      <c r="M45" s="816">
        <v>13</v>
      </c>
      <c r="N45" s="820"/>
      <c r="O45" s="816">
        <v>14</v>
      </c>
      <c r="P45" s="816">
        <v>15</v>
      </c>
      <c r="Q45" s="816">
        <v>16</v>
      </c>
      <c r="R45" s="816">
        <v>17</v>
      </c>
      <c r="S45" s="816">
        <v>18</v>
      </c>
      <c r="T45" s="816">
        <v>19</v>
      </c>
      <c r="U45" s="816">
        <v>20</v>
      </c>
      <c r="V45" s="820"/>
      <c r="W45" s="816">
        <v>21</v>
      </c>
      <c r="X45" s="816">
        <v>22</v>
      </c>
      <c r="Y45" s="816">
        <v>23</v>
      </c>
      <c r="Z45" s="816">
        <v>24</v>
      </c>
      <c r="AA45" s="816">
        <v>25</v>
      </c>
      <c r="AB45" s="816">
        <v>26</v>
      </c>
      <c r="AC45" s="816">
        <v>27</v>
      </c>
      <c r="AD45" s="820"/>
      <c r="AE45" s="816">
        <v>28</v>
      </c>
      <c r="AF45" s="816">
        <v>29</v>
      </c>
      <c r="AG45" s="816">
        <v>30</v>
      </c>
      <c r="AH45" s="816">
        <v>1</v>
      </c>
      <c r="AI45" s="816">
        <v>2</v>
      </c>
      <c r="AJ45" s="816">
        <v>3</v>
      </c>
      <c r="AK45" s="816">
        <v>4</v>
      </c>
      <c r="AL45" s="820"/>
    </row>
    <row r="46" spans="2:38">
      <c r="B46" s="676"/>
      <c r="C46" s="676"/>
      <c r="D46" s="466" t="s">
        <v>42</v>
      </c>
      <c r="E46" s="460" t="s">
        <v>114</v>
      </c>
      <c r="F46" s="460" t="s">
        <v>115</v>
      </c>
      <c r="G46" s="816"/>
      <c r="H46" s="816"/>
      <c r="I46" s="816"/>
      <c r="J46" s="816"/>
      <c r="K46" s="816"/>
      <c r="L46" s="816"/>
      <c r="M46" s="816"/>
      <c r="N46" s="820"/>
      <c r="O46" s="816"/>
      <c r="P46" s="816"/>
      <c r="Q46" s="816"/>
      <c r="R46" s="816"/>
      <c r="S46" s="816"/>
      <c r="T46" s="816"/>
      <c r="U46" s="816"/>
      <c r="V46" s="820"/>
      <c r="W46" s="816"/>
      <c r="X46" s="816"/>
      <c r="Y46" s="816"/>
      <c r="Z46" s="816"/>
      <c r="AA46" s="816"/>
      <c r="AB46" s="816"/>
      <c r="AC46" s="816"/>
      <c r="AD46" s="820"/>
      <c r="AE46" s="816"/>
      <c r="AF46" s="816"/>
      <c r="AG46" s="816"/>
      <c r="AH46" s="816"/>
      <c r="AI46" s="816"/>
      <c r="AJ46" s="816"/>
      <c r="AK46" s="816"/>
      <c r="AL46" s="820"/>
    </row>
    <row r="47" spans="2:38">
      <c r="B47" s="804" t="s">
        <v>193</v>
      </c>
      <c r="C47" s="354"/>
      <c r="D47" s="488">
        <v>1</v>
      </c>
      <c r="E47" s="195" t="s">
        <v>496</v>
      </c>
      <c r="F47" s="195" t="s">
        <v>497</v>
      </c>
      <c r="G47" s="472" t="s">
        <v>117</v>
      </c>
      <c r="H47" s="472" t="s">
        <v>117</v>
      </c>
      <c r="I47" s="489" t="s">
        <v>108</v>
      </c>
      <c r="J47" s="490" t="s">
        <v>108</v>
      </c>
      <c r="K47" s="490" t="s">
        <v>108</v>
      </c>
      <c r="L47" s="489" t="s">
        <v>108</v>
      </c>
      <c r="M47" s="473" t="s">
        <v>116</v>
      </c>
      <c r="N47" s="491">
        <v>60</v>
      </c>
      <c r="O47" s="472" t="s">
        <v>117</v>
      </c>
      <c r="P47" s="489" t="s">
        <v>108</v>
      </c>
      <c r="Q47" s="489" t="s">
        <v>108</v>
      </c>
      <c r="R47" s="473" t="s">
        <v>108</v>
      </c>
      <c r="S47" s="489" t="s">
        <v>108</v>
      </c>
      <c r="T47" s="490" t="s">
        <v>116</v>
      </c>
      <c r="U47" s="490" t="s">
        <v>116</v>
      </c>
      <c r="V47" s="491">
        <v>72</v>
      </c>
      <c r="W47" s="472" t="s">
        <v>117</v>
      </c>
      <c r="X47" s="472" t="s">
        <v>117</v>
      </c>
      <c r="Y47" s="489" t="s">
        <v>108</v>
      </c>
      <c r="Z47" s="490" t="s">
        <v>108</v>
      </c>
      <c r="AA47" s="489" t="s">
        <v>108</v>
      </c>
      <c r="AB47" s="489" t="s">
        <v>108</v>
      </c>
      <c r="AC47" s="473" t="s">
        <v>116</v>
      </c>
      <c r="AD47" s="491">
        <v>60</v>
      </c>
      <c r="AE47" s="472" t="s">
        <v>117</v>
      </c>
      <c r="AF47" s="489" t="s">
        <v>108</v>
      </c>
      <c r="AG47" s="489" t="s">
        <v>108</v>
      </c>
      <c r="AH47" s="490" t="s">
        <v>108</v>
      </c>
      <c r="AI47" s="489" t="s">
        <v>108</v>
      </c>
      <c r="AJ47" s="473" t="s">
        <v>116</v>
      </c>
      <c r="AK47" s="473" t="s">
        <v>116</v>
      </c>
      <c r="AL47" s="491">
        <v>72</v>
      </c>
    </row>
    <row r="48" spans="2:38">
      <c r="B48" s="804"/>
      <c r="C48" s="354" t="s">
        <v>194</v>
      </c>
      <c r="D48" s="488">
        <v>2</v>
      </c>
      <c r="E48" s="195" t="s">
        <v>498</v>
      </c>
      <c r="F48" s="195" t="s">
        <v>499</v>
      </c>
      <c r="G48" s="473" t="s">
        <v>116</v>
      </c>
      <c r="H48" s="473" t="s">
        <v>116</v>
      </c>
      <c r="I48" s="475" t="s">
        <v>116</v>
      </c>
      <c r="J48" s="472" t="s">
        <v>117</v>
      </c>
      <c r="K48" s="472" t="s">
        <v>117</v>
      </c>
      <c r="L48" s="490" t="s">
        <v>108</v>
      </c>
      <c r="M48" s="473" t="s">
        <v>108</v>
      </c>
      <c r="N48" s="491">
        <v>60</v>
      </c>
      <c r="O48" s="490" t="s">
        <v>116</v>
      </c>
      <c r="P48" s="490" t="s">
        <v>116</v>
      </c>
      <c r="Q48" s="473" t="s">
        <v>116</v>
      </c>
      <c r="R48" s="472" t="s">
        <v>117</v>
      </c>
      <c r="S48" s="473" t="s">
        <v>108</v>
      </c>
      <c r="T48" s="473" t="s">
        <v>108</v>
      </c>
      <c r="U48" s="490" t="s">
        <v>108</v>
      </c>
      <c r="V48" s="491">
        <v>72</v>
      </c>
      <c r="W48" s="473" t="s">
        <v>116</v>
      </c>
      <c r="X48" s="473" t="s">
        <v>116</v>
      </c>
      <c r="Y48" s="473" t="s">
        <v>116</v>
      </c>
      <c r="Z48" s="472" t="s">
        <v>117</v>
      </c>
      <c r="AA48" s="490" t="s">
        <v>108</v>
      </c>
      <c r="AB48" s="490" t="s">
        <v>108</v>
      </c>
      <c r="AC48" s="473" t="s">
        <v>108</v>
      </c>
      <c r="AD48" s="491">
        <v>72</v>
      </c>
      <c r="AE48" s="473" t="s">
        <v>116</v>
      </c>
      <c r="AF48" s="473" t="s">
        <v>116</v>
      </c>
      <c r="AG48" s="475" t="s">
        <v>116</v>
      </c>
      <c r="AH48" s="472" t="s">
        <v>117</v>
      </c>
      <c r="AI48" s="490" t="s">
        <v>108</v>
      </c>
      <c r="AJ48" s="490" t="s">
        <v>108</v>
      </c>
      <c r="AK48" s="490" t="s">
        <v>108</v>
      </c>
      <c r="AL48" s="491">
        <v>72</v>
      </c>
    </row>
    <row r="49" spans="2:38">
      <c r="B49" s="804"/>
      <c r="C49" s="354"/>
      <c r="D49" s="488">
        <v>3</v>
      </c>
      <c r="E49" s="195" t="s">
        <v>853</v>
      </c>
      <c r="F49" s="195" t="s">
        <v>500</v>
      </c>
      <c r="G49" s="473" t="s">
        <v>108</v>
      </c>
      <c r="H49" s="473" t="s">
        <v>108</v>
      </c>
      <c r="I49" s="473" t="s">
        <v>108</v>
      </c>
      <c r="J49" s="473" t="s">
        <v>116</v>
      </c>
      <c r="K49" s="473" t="s">
        <v>116</v>
      </c>
      <c r="L49" s="473" t="s">
        <v>116</v>
      </c>
      <c r="M49" s="472" t="s">
        <v>117</v>
      </c>
      <c r="N49" s="491">
        <v>72</v>
      </c>
      <c r="O49" s="473" t="s">
        <v>108</v>
      </c>
      <c r="P49" s="473" t="s">
        <v>108</v>
      </c>
      <c r="Q49" s="473" t="s">
        <v>108</v>
      </c>
      <c r="R49" s="473" t="s">
        <v>116</v>
      </c>
      <c r="S49" s="490" t="s">
        <v>116</v>
      </c>
      <c r="T49" s="472" t="s">
        <v>117</v>
      </c>
      <c r="U49" s="472" t="s">
        <v>117</v>
      </c>
      <c r="V49" s="491">
        <v>60</v>
      </c>
      <c r="W49" s="473" t="s">
        <v>108</v>
      </c>
      <c r="X49" s="473" t="s">
        <v>108</v>
      </c>
      <c r="Y49" s="473" t="s">
        <v>108</v>
      </c>
      <c r="Z49" s="473" t="s">
        <v>116</v>
      </c>
      <c r="AA49" s="473" t="s">
        <v>116</v>
      </c>
      <c r="AB49" s="473" t="s">
        <v>116</v>
      </c>
      <c r="AC49" s="472" t="s">
        <v>117</v>
      </c>
      <c r="AD49" s="491">
        <v>72</v>
      </c>
      <c r="AE49" s="473" t="s">
        <v>108</v>
      </c>
      <c r="AF49" s="473" t="s">
        <v>108</v>
      </c>
      <c r="AG49" s="473" t="s">
        <v>108</v>
      </c>
      <c r="AH49" s="473" t="s">
        <v>116</v>
      </c>
      <c r="AI49" s="473" t="s">
        <v>116</v>
      </c>
      <c r="AJ49" s="472" t="s">
        <v>117</v>
      </c>
      <c r="AK49" s="472" t="s">
        <v>117</v>
      </c>
      <c r="AL49" s="491">
        <v>60</v>
      </c>
    </row>
    <row r="50" spans="2:38">
      <c r="B50" s="339" t="s">
        <v>894</v>
      </c>
      <c r="C50" s="338" t="s">
        <v>194</v>
      </c>
      <c r="D50" s="492">
        <v>4</v>
      </c>
      <c r="E50" s="195" t="s">
        <v>501</v>
      </c>
      <c r="F50" s="195" t="s">
        <v>502</v>
      </c>
      <c r="G50" s="473" t="s">
        <v>192</v>
      </c>
      <c r="H50" s="473" t="s">
        <v>192</v>
      </c>
      <c r="I50" s="473" t="s">
        <v>192</v>
      </c>
      <c r="J50" s="473" t="s">
        <v>192</v>
      </c>
      <c r="K50" s="473" t="s">
        <v>192</v>
      </c>
      <c r="L50" s="472" t="s">
        <v>117</v>
      </c>
      <c r="M50" s="480" t="s">
        <v>104</v>
      </c>
      <c r="N50" s="491">
        <v>58</v>
      </c>
      <c r="O50" s="473" t="s">
        <v>192</v>
      </c>
      <c r="P50" s="473" t="s">
        <v>192</v>
      </c>
      <c r="Q50" s="473" t="s">
        <v>192</v>
      </c>
      <c r="R50" s="473" t="s">
        <v>192</v>
      </c>
      <c r="S50" s="473" t="s">
        <v>192</v>
      </c>
      <c r="T50" s="472" t="s">
        <v>117</v>
      </c>
      <c r="U50" s="480" t="s">
        <v>104</v>
      </c>
      <c r="V50" s="491">
        <v>58</v>
      </c>
      <c r="W50" s="473" t="s">
        <v>192</v>
      </c>
      <c r="X50" s="473" t="s">
        <v>192</v>
      </c>
      <c r="Y50" s="473" t="s">
        <v>192</v>
      </c>
      <c r="Z50" s="473" t="s">
        <v>192</v>
      </c>
      <c r="AA50" s="473" t="s">
        <v>192</v>
      </c>
      <c r="AB50" s="472" t="s">
        <v>117</v>
      </c>
      <c r="AC50" s="480" t="s">
        <v>104</v>
      </c>
      <c r="AD50" s="491">
        <v>58</v>
      </c>
      <c r="AE50" s="473" t="s">
        <v>192</v>
      </c>
      <c r="AF50" s="473" t="s">
        <v>192</v>
      </c>
      <c r="AG50" s="473" t="s">
        <v>192</v>
      </c>
      <c r="AH50" s="473" t="s">
        <v>192</v>
      </c>
      <c r="AI50" s="473" t="s">
        <v>192</v>
      </c>
      <c r="AJ50" s="472" t="s">
        <v>117</v>
      </c>
      <c r="AK50" s="480" t="s">
        <v>104</v>
      </c>
      <c r="AL50" s="491">
        <v>58</v>
      </c>
    </row>
    <row r="51" spans="2:38">
      <c r="B51" s="353"/>
      <c r="C51" s="353"/>
      <c r="E51" s="454"/>
      <c r="F51" s="454"/>
    </row>
    <row r="52" spans="2:38" ht="15" customHeight="1">
      <c r="B52" s="676" t="s">
        <v>126</v>
      </c>
      <c r="C52" s="832" t="s">
        <v>127</v>
      </c>
      <c r="D52" s="482" t="s">
        <v>101</v>
      </c>
      <c r="E52" s="482" t="s">
        <v>46</v>
      </c>
      <c r="F52" s="482" t="s">
        <v>102</v>
      </c>
      <c r="G52" s="483" t="s">
        <v>103</v>
      </c>
      <c r="H52" s="483" t="s">
        <v>104</v>
      </c>
      <c r="I52" s="483" t="s">
        <v>104</v>
      </c>
      <c r="J52" s="483" t="s">
        <v>105</v>
      </c>
      <c r="K52" s="483" t="s">
        <v>106</v>
      </c>
      <c r="L52" s="483" t="s">
        <v>107</v>
      </c>
      <c r="M52" s="483" t="s">
        <v>108</v>
      </c>
      <c r="N52" s="820" t="s">
        <v>109</v>
      </c>
      <c r="O52" s="484" t="s">
        <v>103</v>
      </c>
      <c r="P52" s="484" t="s">
        <v>104</v>
      </c>
      <c r="Q52" s="484" t="s">
        <v>104</v>
      </c>
      <c r="R52" s="484" t="s">
        <v>105</v>
      </c>
      <c r="S52" s="484" t="s">
        <v>106</v>
      </c>
      <c r="T52" s="484" t="s">
        <v>107</v>
      </c>
      <c r="U52" s="484" t="s">
        <v>108</v>
      </c>
      <c r="V52" s="820" t="s">
        <v>109</v>
      </c>
      <c r="W52" s="485" t="s">
        <v>103</v>
      </c>
      <c r="X52" s="485" t="s">
        <v>104</v>
      </c>
      <c r="Y52" s="485" t="s">
        <v>104</v>
      </c>
      <c r="Z52" s="485" t="s">
        <v>105</v>
      </c>
      <c r="AA52" s="485" t="s">
        <v>106</v>
      </c>
      <c r="AB52" s="485" t="s">
        <v>107</v>
      </c>
      <c r="AC52" s="485" t="s">
        <v>108</v>
      </c>
      <c r="AD52" s="820" t="s">
        <v>109</v>
      </c>
      <c r="AE52" s="486" t="s">
        <v>103</v>
      </c>
      <c r="AF52" s="486" t="s">
        <v>104</v>
      </c>
      <c r="AG52" s="486" t="s">
        <v>104</v>
      </c>
      <c r="AH52" s="487" t="s">
        <v>105</v>
      </c>
      <c r="AI52" s="487" t="s">
        <v>106</v>
      </c>
      <c r="AJ52" s="487" t="s">
        <v>107</v>
      </c>
      <c r="AK52" s="487" t="s">
        <v>108</v>
      </c>
      <c r="AL52" s="820" t="s">
        <v>109</v>
      </c>
    </row>
    <row r="53" spans="2:38">
      <c r="B53" s="676"/>
      <c r="C53" s="832"/>
      <c r="D53" s="482" t="s">
        <v>112</v>
      </c>
      <c r="E53" s="482" t="s">
        <v>845</v>
      </c>
      <c r="F53" s="482" t="s">
        <v>113</v>
      </c>
      <c r="G53" s="816">
        <v>7</v>
      </c>
      <c r="H53" s="816">
        <v>8</v>
      </c>
      <c r="I53" s="816">
        <v>9</v>
      </c>
      <c r="J53" s="816">
        <v>10</v>
      </c>
      <c r="K53" s="816">
        <v>11</v>
      </c>
      <c r="L53" s="816">
        <v>12</v>
      </c>
      <c r="M53" s="816">
        <v>13</v>
      </c>
      <c r="N53" s="820"/>
      <c r="O53" s="816">
        <v>14</v>
      </c>
      <c r="P53" s="816">
        <v>15</v>
      </c>
      <c r="Q53" s="816">
        <v>16</v>
      </c>
      <c r="R53" s="816">
        <v>17</v>
      </c>
      <c r="S53" s="816">
        <v>18</v>
      </c>
      <c r="T53" s="816">
        <v>19</v>
      </c>
      <c r="U53" s="816">
        <v>20</v>
      </c>
      <c r="V53" s="820"/>
      <c r="W53" s="816">
        <v>21</v>
      </c>
      <c r="X53" s="816">
        <v>22</v>
      </c>
      <c r="Y53" s="816">
        <v>23</v>
      </c>
      <c r="Z53" s="816">
        <v>24</v>
      </c>
      <c r="AA53" s="816">
        <v>25</v>
      </c>
      <c r="AB53" s="816">
        <v>26</v>
      </c>
      <c r="AC53" s="816">
        <v>27</v>
      </c>
      <c r="AD53" s="820"/>
      <c r="AE53" s="816">
        <v>28</v>
      </c>
      <c r="AF53" s="816">
        <v>29</v>
      </c>
      <c r="AG53" s="816">
        <v>30</v>
      </c>
      <c r="AH53" s="816">
        <v>1</v>
      </c>
      <c r="AI53" s="816">
        <v>2</v>
      </c>
      <c r="AJ53" s="816">
        <v>3</v>
      </c>
      <c r="AK53" s="816">
        <v>4</v>
      </c>
      <c r="AL53" s="820"/>
    </row>
    <row r="54" spans="2:38">
      <c r="B54" s="676"/>
      <c r="C54" s="832"/>
      <c r="D54" s="494" t="s">
        <v>42</v>
      </c>
      <c r="E54" s="495" t="s">
        <v>114</v>
      </c>
      <c r="F54" s="495" t="s">
        <v>115</v>
      </c>
      <c r="G54" s="816"/>
      <c r="H54" s="816"/>
      <c r="I54" s="816"/>
      <c r="J54" s="816"/>
      <c r="K54" s="816"/>
      <c r="L54" s="816"/>
      <c r="M54" s="816"/>
      <c r="N54" s="820"/>
      <c r="O54" s="816"/>
      <c r="P54" s="816"/>
      <c r="Q54" s="816"/>
      <c r="R54" s="816"/>
      <c r="S54" s="816"/>
      <c r="T54" s="816"/>
      <c r="U54" s="816"/>
      <c r="V54" s="820"/>
      <c r="W54" s="816"/>
      <c r="X54" s="816"/>
      <c r="Y54" s="816"/>
      <c r="Z54" s="816"/>
      <c r="AA54" s="816"/>
      <c r="AB54" s="816"/>
      <c r="AC54" s="816"/>
      <c r="AD54" s="820"/>
      <c r="AE54" s="816"/>
      <c r="AF54" s="816"/>
      <c r="AG54" s="816"/>
      <c r="AH54" s="816"/>
      <c r="AI54" s="816"/>
      <c r="AJ54" s="816"/>
      <c r="AK54" s="816"/>
      <c r="AL54" s="820"/>
    </row>
    <row r="55" spans="2:38">
      <c r="B55" s="804" t="s">
        <v>240</v>
      </c>
      <c r="C55" s="493"/>
      <c r="D55" s="492">
        <v>1</v>
      </c>
      <c r="E55" s="195" t="s">
        <v>473</v>
      </c>
      <c r="F55" s="195" t="s">
        <v>775</v>
      </c>
      <c r="G55" s="125" t="s">
        <v>117</v>
      </c>
      <c r="H55" s="496" t="s">
        <v>108</v>
      </c>
      <c r="I55" s="496" t="s">
        <v>108</v>
      </c>
      <c r="J55" s="496" t="s">
        <v>108</v>
      </c>
      <c r="K55" s="496" t="s">
        <v>116</v>
      </c>
      <c r="L55" s="496" t="s">
        <v>116</v>
      </c>
      <c r="M55" s="496" t="s">
        <v>116</v>
      </c>
      <c r="N55" s="499">
        <v>72</v>
      </c>
      <c r="O55" s="125" t="s">
        <v>117</v>
      </c>
      <c r="P55" s="496" t="s">
        <v>108</v>
      </c>
      <c r="Q55" s="496" t="s">
        <v>108</v>
      </c>
      <c r="R55" s="496" t="s">
        <v>108</v>
      </c>
      <c r="S55" s="496" t="s">
        <v>116</v>
      </c>
      <c r="T55" s="496" t="s">
        <v>116</v>
      </c>
      <c r="U55" s="496" t="s">
        <v>116</v>
      </c>
      <c r="V55" s="499">
        <v>60</v>
      </c>
      <c r="W55" s="125" t="s">
        <v>117</v>
      </c>
      <c r="X55" s="496" t="s">
        <v>108</v>
      </c>
      <c r="Y55" s="496" t="s">
        <v>108</v>
      </c>
      <c r="Z55" s="496" t="s">
        <v>108</v>
      </c>
      <c r="AA55" s="496" t="s">
        <v>116</v>
      </c>
      <c r="AB55" s="496" t="s">
        <v>116</v>
      </c>
      <c r="AC55" s="496" t="s">
        <v>116</v>
      </c>
      <c r="AD55" s="497">
        <v>72</v>
      </c>
      <c r="AE55" s="125" t="s">
        <v>117</v>
      </c>
      <c r="AF55" s="125" t="s">
        <v>117</v>
      </c>
      <c r="AG55" s="496" t="s">
        <v>108</v>
      </c>
      <c r="AH55" s="496" t="s">
        <v>108</v>
      </c>
      <c r="AI55" s="496" t="s">
        <v>116</v>
      </c>
      <c r="AJ55" s="496" t="s">
        <v>116</v>
      </c>
      <c r="AK55" s="496" t="s">
        <v>116</v>
      </c>
      <c r="AL55" s="499">
        <v>72</v>
      </c>
    </row>
    <row r="56" spans="2:38">
      <c r="B56" s="804"/>
      <c r="C56" s="493" t="s">
        <v>194</v>
      </c>
      <c r="D56" s="492">
        <v>2</v>
      </c>
      <c r="E56" s="195" t="s">
        <v>503</v>
      </c>
      <c r="F56" s="195" t="s">
        <v>504</v>
      </c>
      <c r="G56" s="126" t="s">
        <v>116</v>
      </c>
      <c r="H56" s="125" t="s">
        <v>117</v>
      </c>
      <c r="I56" s="125" t="s">
        <v>117</v>
      </c>
      <c r="J56" s="126" t="s">
        <v>108</v>
      </c>
      <c r="K56" s="126" t="s">
        <v>108</v>
      </c>
      <c r="L56" s="126" t="s">
        <v>116</v>
      </c>
      <c r="M56" s="126" t="s">
        <v>116</v>
      </c>
      <c r="N56" s="497">
        <v>72</v>
      </c>
      <c r="O56" s="126" t="s">
        <v>116</v>
      </c>
      <c r="P56" s="125" t="s">
        <v>117</v>
      </c>
      <c r="Q56" s="126" t="s">
        <v>108</v>
      </c>
      <c r="R56" s="126" t="s">
        <v>108</v>
      </c>
      <c r="S56" s="126" t="s">
        <v>116</v>
      </c>
      <c r="T56" s="126" t="s">
        <v>116</v>
      </c>
      <c r="U56" s="126" t="s">
        <v>116</v>
      </c>
      <c r="V56" s="497">
        <v>60</v>
      </c>
      <c r="W56" s="126" t="s">
        <v>116</v>
      </c>
      <c r="X56" s="125" t="s">
        <v>117</v>
      </c>
      <c r="Y56" s="126" t="s">
        <v>108</v>
      </c>
      <c r="Z56" s="126" t="s">
        <v>108</v>
      </c>
      <c r="AA56" s="126" t="s">
        <v>108</v>
      </c>
      <c r="AB56" s="126" t="s">
        <v>116</v>
      </c>
      <c r="AC56" s="126" t="s">
        <v>116</v>
      </c>
      <c r="AD56" s="497">
        <v>60</v>
      </c>
      <c r="AE56" s="126" t="s">
        <v>116</v>
      </c>
      <c r="AF56" s="125" t="s">
        <v>117</v>
      </c>
      <c r="AG56" s="125" t="s">
        <v>117</v>
      </c>
      <c r="AH56" s="126" t="s">
        <v>108</v>
      </c>
      <c r="AI56" s="126" t="s">
        <v>116</v>
      </c>
      <c r="AJ56" s="126" t="s">
        <v>116</v>
      </c>
      <c r="AK56" s="126" t="s">
        <v>116</v>
      </c>
      <c r="AL56" s="497">
        <v>72</v>
      </c>
    </row>
    <row r="57" spans="2:38">
      <c r="B57" s="804"/>
      <c r="C57" s="493"/>
      <c r="D57" s="492">
        <v>3</v>
      </c>
      <c r="E57" s="195" t="s">
        <v>505</v>
      </c>
      <c r="F57" s="195" t="s">
        <v>506</v>
      </c>
      <c r="G57" s="496" t="s">
        <v>116</v>
      </c>
      <c r="H57" s="496" t="s">
        <v>116</v>
      </c>
      <c r="I57" s="496" t="s">
        <v>116</v>
      </c>
      <c r="J57" s="125" t="s">
        <v>117</v>
      </c>
      <c r="K57" s="496" t="s">
        <v>108</v>
      </c>
      <c r="L57" s="496" t="s">
        <v>108</v>
      </c>
      <c r="M57" s="496" t="s">
        <v>116</v>
      </c>
      <c r="N57" s="499">
        <v>60</v>
      </c>
      <c r="O57" s="496" t="s">
        <v>116</v>
      </c>
      <c r="P57" s="496" t="s">
        <v>116</v>
      </c>
      <c r="Q57" s="125" t="s">
        <v>117</v>
      </c>
      <c r="R57" s="125" t="s">
        <v>117</v>
      </c>
      <c r="S57" s="126" t="s">
        <v>108</v>
      </c>
      <c r="T57" s="126" t="s">
        <v>116</v>
      </c>
      <c r="U57" s="126" t="s">
        <v>116</v>
      </c>
      <c r="V57" s="499">
        <v>72</v>
      </c>
      <c r="W57" s="496" t="s">
        <v>116</v>
      </c>
      <c r="X57" s="126" t="s">
        <v>116</v>
      </c>
      <c r="Y57" s="125" t="s">
        <v>117</v>
      </c>
      <c r="Z57" s="125" t="s">
        <v>117</v>
      </c>
      <c r="AA57" s="126" t="s">
        <v>108</v>
      </c>
      <c r="AB57" s="126" t="s">
        <v>116</v>
      </c>
      <c r="AC57" s="496" t="s">
        <v>116</v>
      </c>
      <c r="AD57" s="497">
        <v>72</v>
      </c>
      <c r="AE57" s="496" t="s">
        <v>116</v>
      </c>
      <c r="AF57" s="496" t="s">
        <v>116</v>
      </c>
      <c r="AG57" s="496" t="s">
        <v>116</v>
      </c>
      <c r="AH57" s="125" t="s">
        <v>117</v>
      </c>
      <c r="AI57" s="496" t="s">
        <v>108</v>
      </c>
      <c r="AJ57" s="496" t="s">
        <v>108</v>
      </c>
      <c r="AK57" s="496" t="s">
        <v>116</v>
      </c>
      <c r="AL57" s="499">
        <v>60</v>
      </c>
    </row>
    <row r="58" spans="2:38">
      <c r="B58" s="804"/>
      <c r="C58" s="833" t="s">
        <v>194</v>
      </c>
      <c r="D58" s="492">
        <v>4</v>
      </c>
      <c r="E58" s="195" t="s">
        <v>507</v>
      </c>
      <c r="F58" s="195" t="s">
        <v>508</v>
      </c>
      <c r="G58" s="496" t="s">
        <v>108</v>
      </c>
      <c r="H58" s="496" t="s">
        <v>116</v>
      </c>
      <c r="I58" s="496" t="s">
        <v>116</v>
      </c>
      <c r="J58" s="496" t="s">
        <v>116</v>
      </c>
      <c r="K58" s="125" t="s">
        <v>117</v>
      </c>
      <c r="L58" s="125" t="s">
        <v>117</v>
      </c>
      <c r="M58" s="496" t="s">
        <v>108</v>
      </c>
      <c r="N58" s="499">
        <v>72</v>
      </c>
      <c r="O58" s="496" t="s">
        <v>108</v>
      </c>
      <c r="P58" s="496" t="s">
        <v>116</v>
      </c>
      <c r="Q58" s="496" t="s">
        <v>116</v>
      </c>
      <c r="R58" s="496" t="s">
        <v>116</v>
      </c>
      <c r="S58" s="125" t="s">
        <v>117</v>
      </c>
      <c r="T58" s="496" t="s">
        <v>108</v>
      </c>
      <c r="U58" s="496" t="s">
        <v>108</v>
      </c>
      <c r="V58" s="499">
        <v>72</v>
      </c>
      <c r="W58" s="496" t="s">
        <v>116</v>
      </c>
      <c r="X58" s="496" t="s">
        <v>116</v>
      </c>
      <c r="Y58" s="496" t="s">
        <v>116</v>
      </c>
      <c r="Z58" s="496" t="s">
        <v>116</v>
      </c>
      <c r="AA58" s="125" t="s">
        <v>117</v>
      </c>
      <c r="AB58" s="496" t="s">
        <v>108</v>
      </c>
      <c r="AC58" s="496" t="s">
        <v>108</v>
      </c>
      <c r="AD58" s="497">
        <v>72</v>
      </c>
      <c r="AE58" s="496" t="s">
        <v>108</v>
      </c>
      <c r="AF58" s="496" t="s">
        <v>116</v>
      </c>
      <c r="AG58" s="496" t="s">
        <v>116</v>
      </c>
      <c r="AH58" s="496" t="s">
        <v>116</v>
      </c>
      <c r="AI58" s="125" t="s">
        <v>117</v>
      </c>
      <c r="AJ58" s="125" t="s">
        <v>117</v>
      </c>
      <c r="AK58" s="496" t="s">
        <v>108</v>
      </c>
      <c r="AL58" s="499">
        <v>60</v>
      </c>
    </row>
    <row r="59" spans="2:38">
      <c r="B59" s="804"/>
      <c r="C59" s="833"/>
      <c r="D59" s="492">
        <v>5</v>
      </c>
      <c r="E59" s="195" t="s">
        <v>509</v>
      </c>
      <c r="F59" s="195" t="s">
        <v>510</v>
      </c>
      <c r="G59" s="496" t="s">
        <v>108</v>
      </c>
      <c r="H59" s="496" t="s">
        <v>108</v>
      </c>
      <c r="I59" s="496" t="s">
        <v>108</v>
      </c>
      <c r="J59" s="496" t="s">
        <v>116</v>
      </c>
      <c r="K59" s="496" t="s">
        <v>116</v>
      </c>
      <c r="L59" s="125" t="s">
        <v>117</v>
      </c>
      <c r="M59" s="496" t="s">
        <v>108</v>
      </c>
      <c r="N59" s="499">
        <v>60</v>
      </c>
      <c r="O59" s="496" t="s">
        <v>108</v>
      </c>
      <c r="P59" s="496" t="s">
        <v>108</v>
      </c>
      <c r="Q59" s="496" t="s">
        <v>116</v>
      </c>
      <c r="R59" s="496" t="s">
        <v>116</v>
      </c>
      <c r="S59" s="125" t="s">
        <v>117</v>
      </c>
      <c r="T59" s="125" t="s">
        <v>117</v>
      </c>
      <c r="U59" s="496" t="s">
        <v>108</v>
      </c>
      <c r="V59" s="499">
        <v>60</v>
      </c>
      <c r="W59" s="496" t="s">
        <v>108</v>
      </c>
      <c r="X59" s="496" t="s">
        <v>108</v>
      </c>
      <c r="Y59" s="333" t="s">
        <v>116</v>
      </c>
      <c r="Z59" s="496" t="s">
        <v>116</v>
      </c>
      <c r="AA59" s="496" t="s">
        <v>116</v>
      </c>
      <c r="AB59" s="125" t="s">
        <v>117</v>
      </c>
      <c r="AC59" s="496" t="s">
        <v>108</v>
      </c>
      <c r="AD59" s="497">
        <v>72</v>
      </c>
      <c r="AE59" s="496" t="s">
        <v>108</v>
      </c>
      <c r="AF59" s="496" t="s">
        <v>108</v>
      </c>
      <c r="AG59" s="496" t="s">
        <v>108</v>
      </c>
      <c r="AH59" s="496" t="s">
        <v>116</v>
      </c>
      <c r="AI59" s="125" t="s">
        <v>117</v>
      </c>
      <c r="AJ59" s="125" t="s">
        <v>117</v>
      </c>
      <c r="AK59" s="496" t="s">
        <v>108</v>
      </c>
      <c r="AL59" s="499">
        <v>72</v>
      </c>
    </row>
    <row r="60" spans="2:38">
      <c r="B60" s="804"/>
      <c r="C60" s="833"/>
      <c r="D60" s="492">
        <v>6</v>
      </c>
      <c r="E60" s="195" t="s">
        <v>899</v>
      </c>
      <c r="F60" s="195" t="s">
        <v>511</v>
      </c>
      <c r="G60" s="333" t="s">
        <v>108</v>
      </c>
      <c r="H60" s="333" t="s">
        <v>108</v>
      </c>
      <c r="I60" s="333" t="s">
        <v>108</v>
      </c>
      <c r="J60" s="333" t="s">
        <v>116</v>
      </c>
      <c r="K60" s="333" t="s">
        <v>116</v>
      </c>
      <c r="L60" s="333" t="s">
        <v>116</v>
      </c>
      <c r="M60" s="335" t="s">
        <v>117</v>
      </c>
      <c r="N60" s="497">
        <v>72</v>
      </c>
      <c r="O60" s="333" t="s">
        <v>108</v>
      </c>
      <c r="P60" s="333" t="s">
        <v>108</v>
      </c>
      <c r="Q60" s="333" t="s">
        <v>108</v>
      </c>
      <c r="R60" s="333" t="s">
        <v>116</v>
      </c>
      <c r="S60" s="333" t="s">
        <v>116</v>
      </c>
      <c r="T60" s="125" t="s">
        <v>117</v>
      </c>
      <c r="U60" s="335" t="s">
        <v>117</v>
      </c>
      <c r="V60" s="497">
        <v>72</v>
      </c>
      <c r="W60" s="333" t="s">
        <v>108</v>
      </c>
      <c r="X60" s="333" t="s">
        <v>108</v>
      </c>
      <c r="Y60" s="333" t="s">
        <v>108</v>
      </c>
      <c r="Z60" s="334" t="s">
        <v>116</v>
      </c>
      <c r="AA60" s="334" t="s">
        <v>116</v>
      </c>
      <c r="AB60" s="125" t="s">
        <v>117</v>
      </c>
      <c r="AC60" s="125" t="s">
        <v>117</v>
      </c>
      <c r="AD60" s="497">
        <v>60</v>
      </c>
      <c r="AE60" s="333" t="s">
        <v>108</v>
      </c>
      <c r="AF60" s="333" t="s">
        <v>108</v>
      </c>
      <c r="AG60" s="333" t="s">
        <v>108</v>
      </c>
      <c r="AH60" s="334" t="s">
        <v>116</v>
      </c>
      <c r="AI60" s="334" t="s">
        <v>116</v>
      </c>
      <c r="AJ60" s="334" t="s">
        <v>116</v>
      </c>
      <c r="AK60" s="125" t="s">
        <v>117</v>
      </c>
      <c r="AL60" s="497">
        <v>60</v>
      </c>
    </row>
    <row r="61" spans="2:38">
      <c r="B61" s="804"/>
      <c r="C61" s="833"/>
      <c r="D61" s="492">
        <v>7</v>
      </c>
      <c r="E61" s="195" t="s">
        <v>492</v>
      </c>
      <c r="F61" s="195" t="s">
        <v>493</v>
      </c>
      <c r="G61" s="496" t="s">
        <v>116</v>
      </c>
      <c r="H61" s="496" t="s">
        <v>116</v>
      </c>
      <c r="I61" s="496" t="s">
        <v>116</v>
      </c>
      <c r="J61" s="125" t="s">
        <v>117</v>
      </c>
      <c r="K61" s="125" t="s">
        <v>117</v>
      </c>
      <c r="L61" s="496" t="s">
        <v>108</v>
      </c>
      <c r="M61" s="496" t="s">
        <v>108</v>
      </c>
      <c r="N61" s="499">
        <v>72</v>
      </c>
      <c r="O61" s="496" t="s">
        <v>116</v>
      </c>
      <c r="P61" s="496" t="s">
        <v>116</v>
      </c>
      <c r="Q61" s="496" t="s">
        <v>116</v>
      </c>
      <c r="R61" s="125" t="s">
        <v>117</v>
      </c>
      <c r="S61" s="496" t="s">
        <v>108</v>
      </c>
      <c r="T61" s="496" t="s">
        <v>108</v>
      </c>
      <c r="U61" s="496" t="s">
        <v>108</v>
      </c>
      <c r="V61" s="499">
        <v>72</v>
      </c>
      <c r="W61" s="496" t="s">
        <v>108</v>
      </c>
      <c r="X61" s="496" t="s">
        <v>116</v>
      </c>
      <c r="Y61" s="496" t="s">
        <v>116</v>
      </c>
      <c r="Z61" s="125" t="s">
        <v>117</v>
      </c>
      <c r="AA61" s="125" t="s">
        <v>117</v>
      </c>
      <c r="AB61" s="496" t="s">
        <v>108</v>
      </c>
      <c r="AC61" s="496" t="s">
        <v>108</v>
      </c>
      <c r="AD61" s="497">
        <v>60</v>
      </c>
      <c r="AE61" s="496" t="s">
        <v>116</v>
      </c>
      <c r="AF61" s="496" t="s">
        <v>116</v>
      </c>
      <c r="AG61" s="496" t="s">
        <v>116</v>
      </c>
      <c r="AH61" s="125" t="s">
        <v>117</v>
      </c>
      <c r="AI61" s="496" t="s">
        <v>108</v>
      </c>
      <c r="AJ61" s="496" t="s">
        <v>108</v>
      </c>
      <c r="AK61" s="496" t="s">
        <v>108</v>
      </c>
      <c r="AL61" s="499">
        <v>60</v>
      </c>
    </row>
    <row r="62" spans="2:38">
      <c r="B62" s="804"/>
      <c r="C62" s="833"/>
      <c r="D62" s="492">
        <v>8</v>
      </c>
      <c r="E62" s="195" t="s">
        <v>800</v>
      </c>
      <c r="F62" s="195" t="s">
        <v>801</v>
      </c>
      <c r="G62" s="467" t="s">
        <v>108</v>
      </c>
      <c r="H62" s="467" t="s">
        <v>108</v>
      </c>
      <c r="I62" s="332" t="s">
        <v>117</v>
      </c>
      <c r="J62" s="126" t="s">
        <v>108</v>
      </c>
      <c r="K62" s="126" t="s">
        <v>108</v>
      </c>
      <c r="L62" s="636" t="s">
        <v>108</v>
      </c>
      <c r="M62" s="498" t="s">
        <v>108</v>
      </c>
      <c r="N62" s="499">
        <v>72</v>
      </c>
      <c r="O62" s="467" t="s">
        <v>108</v>
      </c>
      <c r="P62" s="332" t="s">
        <v>117</v>
      </c>
      <c r="Q62" s="332" t="s">
        <v>117</v>
      </c>
      <c r="R62" s="126" t="s">
        <v>108</v>
      </c>
      <c r="S62" s="126" t="s">
        <v>108</v>
      </c>
      <c r="T62" s="126" t="s">
        <v>108</v>
      </c>
      <c r="U62" s="498" t="s">
        <v>108</v>
      </c>
      <c r="V62" s="499">
        <v>72</v>
      </c>
      <c r="W62" s="467" t="s">
        <v>108</v>
      </c>
      <c r="X62" s="467" t="s">
        <v>108</v>
      </c>
      <c r="Y62" s="125" t="s">
        <v>117</v>
      </c>
      <c r="Z62" s="126" t="s">
        <v>108</v>
      </c>
      <c r="AA62" s="126" t="s">
        <v>108</v>
      </c>
      <c r="AB62" s="126" t="s">
        <v>108</v>
      </c>
      <c r="AC62" s="498" t="s">
        <v>108</v>
      </c>
      <c r="AD62" s="499">
        <v>72</v>
      </c>
      <c r="AE62" s="467" t="s">
        <v>108</v>
      </c>
      <c r="AF62" s="333" t="s">
        <v>108</v>
      </c>
      <c r="AG62" s="332" t="s">
        <v>117</v>
      </c>
      <c r="AH62" s="126" t="s">
        <v>108</v>
      </c>
      <c r="AI62" s="126" t="s">
        <v>108</v>
      </c>
      <c r="AJ62" s="126" t="s">
        <v>108</v>
      </c>
      <c r="AK62" s="498" t="s">
        <v>108</v>
      </c>
      <c r="AL62" s="499">
        <v>72</v>
      </c>
    </row>
    <row r="63" spans="2:38">
      <c r="E63" s="454"/>
      <c r="F63" s="454"/>
      <c r="N63" s="132"/>
      <c r="V63" s="132"/>
      <c r="AD63" s="132"/>
      <c r="AL63" s="132"/>
    </row>
    <row r="64" spans="2:38" ht="15" customHeight="1">
      <c r="B64" s="676" t="s">
        <v>126</v>
      </c>
      <c r="C64" s="676" t="s">
        <v>127</v>
      </c>
      <c r="D64" s="196" t="s">
        <v>101</v>
      </c>
      <c r="E64" s="482" t="s">
        <v>198</v>
      </c>
      <c r="F64" s="196" t="s">
        <v>102</v>
      </c>
      <c r="G64" s="483" t="s">
        <v>103</v>
      </c>
      <c r="H64" s="483" t="s">
        <v>104</v>
      </c>
      <c r="I64" s="483" t="s">
        <v>104</v>
      </c>
      <c r="J64" s="483" t="s">
        <v>105</v>
      </c>
      <c r="K64" s="483" t="s">
        <v>106</v>
      </c>
      <c r="L64" s="483" t="s">
        <v>107</v>
      </c>
      <c r="M64" s="483" t="s">
        <v>108</v>
      </c>
      <c r="N64" s="820" t="s">
        <v>109</v>
      </c>
      <c r="O64" s="484" t="s">
        <v>103</v>
      </c>
      <c r="P64" s="484" t="s">
        <v>104</v>
      </c>
      <c r="Q64" s="484" t="s">
        <v>104</v>
      </c>
      <c r="R64" s="484" t="s">
        <v>105</v>
      </c>
      <c r="S64" s="484" t="s">
        <v>106</v>
      </c>
      <c r="T64" s="484" t="s">
        <v>107</v>
      </c>
      <c r="U64" s="484" t="s">
        <v>108</v>
      </c>
      <c r="V64" s="820" t="s">
        <v>109</v>
      </c>
      <c r="W64" s="485" t="s">
        <v>103</v>
      </c>
      <c r="X64" s="485" t="s">
        <v>104</v>
      </c>
      <c r="Y64" s="485" t="s">
        <v>104</v>
      </c>
      <c r="Z64" s="485" t="s">
        <v>105</v>
      </c>
      <c r="AA64" s="485" t="s">
        <v>106</v>
      </c>
      <c r="AB64" s="485" t="s">
        <v>107</v>
      </c>
      <c r="AC64" s="485" t="s">
        <v>108</v>
      </c>
      <c r="AD64" s="820" t="s">
        <v>109</v>
      </c>
      <c r="AE64" s="486" t="s">
        <v>103</v>
      </c>
      <c r="AF64" s="486" t="s">
        <v>104</v>
      </c>
      <c r="AG64" s="486" t="s">
        <v>104</v>
      </c>
      <c r="AH64" s="487" t="s">
        <v>105</v>
      </c>
      <c r="AI64" s="487" t="s">
        <v>106</v>
      </c>
      <c r="AJ64" s="487" t="s">
        <v>107</v>
      </c>
      <c r="AK64" s="487" t="s">
        <v>108</v>
      </c>
      <c r="AL64" s="820" t="s">
        <v>109</v>
      </c>
    </row>
    <row r="65" spans="2:38">
      <c r="B65" s="676"/>
      <c r="C65" s="676"/>
      <c r="D65" s="196" t="s">
        <v>112</v>
      </c>
      <c r="E65" s="482" t="s">
        <v>845</v>
      </c>
      <c r="F65" s="196" t="s">
        <v>113</v>
      </c>
      <c r="G65" s="816">
        <v>7</v>
      </c>
      <c r="H65" s="816">
        <v>8</v>
      </c>
      <c r="I65" s="816">
        <v>9</v>
      </c>
      <c r="J65" s="816">
        <v>10</v>
      </c>
      <c r="K65" s="816">
        <v>11</v>
      </c>
      <c r="L65" s="816">
        <v>12</v>
      </c>
      <c r="M65" s="816">
        <v>13</v>
      </c>
      <c r="N65" s="820"/>
      <c r="O65" s="816">
        <v>14</v>
      </c>
      <c r="P65" s="816">
        <v>15</v>
      </c>
      <c r="Q65" s="816">
        <v>16</v>
      </c>
      <c r="R65" s="816">
        <v>17</v>
      </c>
      <c r="S65" s="816">
        <v>18</v>
      </c>
      <c r="T65" s="816">
        <v>19</v>
      </c>
      <c r="U65" s="816">
        <v>20</v>
      </c>
      <c r="V65" s="820"/>
      <c r="W65" s="816">
        <v>21</v>
      </c>
      <c r="X65" s="816">
        <v>22</v>
      </c>
      <c r="Y65" s="816">
        <v>23</v>
      </c>
      <c r="Z65" s="816">
        <v>24</v>
      </c>
      <c r="AA65" s="816">
        <v>25</v>
      </c>
      <c r="AB65" s="816">
        <v>26</v>
      </c>
      <c r="AC65" s="816">
        <v>27</v>
      </c>
      <c r="AD65" s="820"/>
      <c r="AE65" s="816">
        <v>28</v>
      </c>
      <c r="AF65" s="816">
        <v>29</v>
      </c>
      <c r="AG65" s="816">
        <v>30</v>
      </c>
      <c r="AH65" s="816">
        <v>1</v>
      </c>
      <c r="AI65" s="816">
        <v>2</v>
      </c>
      <c r="AJ65" s="816">
        <v>3</v>
      </c>
      <c r="AK65" s="816">
        <v>4</v>
      </c>
      <c r="AL65" s="820"/>
    </row>
    <row r="66" spans="2:38">
      <c r="B66" s="676"/>
      <c r="C66" s="676"/>
      <c r="D66" s="325" t="s">
        <v>42</v>
      </c>
      <c r="E66" s="218" t="s">
        <v>114</v>
      </c>
      <c r="F66" s="218" t="s">
        <v>115</v>
      </c>
      <c r="G66" s="816"/>
      <c r="H66" s="816"/>
      <c r="I66" s="816"/>
      <c r="J66" s="816"/>
      <c r="K66" s="816"/>
      <c r="L66" s="816"/>
      <c r="M66" s="816"/>
      <c r="N66" s="820"/>
      <c r="O66" s="816"/>
      <c r="P66" s="816"/>
      <c r="Q66" s="816"/>
      <c r="R66" s="816"/>
      <c r="S66" s="816"/>
      <c r="T66" s="816"/>
      <c r="U66" s="816"/>
      <c r="V66" s="820"/>
      <c r="W66" s="816"/>
      <c r="X66" s="816"/>
      <c r="Y66" s="816"/>
      <c r="Z66" s="816"/>
      <c r="AA66" s="816"/>
      <c r="AB66" s="816"/>
      <c r="AC66" s="816"/>
      <c r="AD66" s="820"/>
      <c r="AE66" s="816"/>
      <c r="AF66" s="816"/>
      <c r="AG66" s="816"/>
      <c r="AH66" s="816"/>
      <c r="AI66" s="816"/>
      <c r="AJ66" s="816"/>
      <c r="AK66" s="816"/>
      <c r="AL66" s="820"/>
    </row>
    <row r="67" spans="2:38">
      <c r="B67" s="337" t="s">
        <v>243</v>
      </c>
      <c r="C67" s="355" t="s">
        <v>168</v>
      </c>
      <c r="D67" s="198">
        <v>1</v>
      </c>
      <c r="E67" s="195" t="s">
        <v>430</v>
      </c>
      <c r="F67" s="195" t="s">
        <v>817</v>
      </c>
      <c r="G67" s="333" t="s">
        <v>108</v>
      </c>
      <c r="H67" s="333" t="s">
        <v>108</v>
      </c>
      <c r="I67" s="333" t="s">
        <v>108</v>
      </c>
      <c r="J67" s="333" t="s">
        <v>108</v>
      </c>
      <c r="K67" s="333" t="s">
        <v>108</v>
      </c>
      <c r="L67" s="333" t="s">
        <v>108</v>
      </c>
      <c r="M67" s="331" t="s">
        <v>117</v>
      </c>
      <c r="N67" s="427">
        <v>60</v>
      </c>
      <c r="O67" s="333" t="s">
        <v>108</v>
      </c>
      <c r="P67" s="333" t="s">
        <v>108</v>
      </c>
      <c r="Q67" s="333" t="s">
        <v>108</v>
      </c>
      <c r="R67" s="333" t="s">
        <v>108</v>
      </c>
      <c r="S67" s="333" t="s">
        <v>108</v>
      </c>
      <c r="T67" s="333" t="s">
        <v>108</v>
      </c>
      <c r="U67" s="331" t="s">
        <v>117</v>
      </c>
      <c r="V67" s="427">
        <v>72</v>
      </c>
      <c r="W67" s="333" t="s">
        <v>108</v>
      </c>
      <c r="X67" s="333" t="s">
        <v>108</v>
      </c>
      <c r="Y67" s="333" t="s">
        <v>108</v>
      </c>
      <c r="Z67" s="333" t="s">
        <v>108</v>
      </c>
      <c r="AA67" s="333" t="s">
        <v>108</v>
      </c>
      <c r="AB67" s="333" t="s">
        <v>108</v>
      </c>
      <c r="AC67" s="331" t="s">
        <v>117</v>
      </c>
      <c r="AD67" s="427">
        <v>72</v>
      </c>
      <c r="AE67" s="333" t="s">
        <v>108</v>
      </c>
      <c r="AF67" s="333" t="s">
        <v>108</v>
      </c>
      <c r="AG67" s="333" t="s">
        <v>108</v>
      </c>
      <c r="AH67" s="333" t="s">
        <v>108</v>
      </c>
      <c r="AI67" s="333" t="s">
        <v>108</v>
      </c>
      <c r="AJ67" s="333" t="s">
        <v>108</v>
      </c>
      <c r="AK67" s="331" t="s">
        <v>117</v>
      </c>
      <c r="AL67" s="427">
        <v>72</v>
      </c>
    </row>
    <row r="68" spans="2:38">
      <c r="B68" s="353"/>
      <c r="C68" s="353"/>
    </row>
    <row r="69" spans="2:38" ht="15" customHeight="1">
      <c r="B69" s="676" t="s">
        <v>126</v>
      </c>
      <c r="C69" s="676" t="s">
        <v>127</v>
      </c>
      <c r="D69" s="196" t="s">
        <v>101</v>
      </c>
      <c r="E69" s="482" t="s">
        <v>196</v>
      </c>
      <c r="F69" s="196" t="s">
        <v>102</v>
      </c>
      <c r="G69" s="483" t="s">
        <v>103</v>
      </c>
      <c r="H69" s="483" t="s">
        <v>104</v>
      </c>
      <c r="I69" s="483" t="s">
        <v>104</v>
      </c>
      <c r="J69" s="483" t="s">
        <v>105</v>
      </c>
      <c r="K69" s="483" t="s">
        <v>106</v>
      </c>
      <c r="L69" s="483" t="s">
        <v>107</v>
      </c>
      <c r="M69" s="483" t="s">
        <v>108</v>
      </c>
      <c r="N69" s="820" t="s">
        <v>109</v>
      </c>
      <c r="O69" s="484" t="s">
        <v>103</v>
      </c>
      <c r="P69" s="484" t="s">
        <v>104</v>
      </c>
      <c r="Q69" s="484" t="s">
        <v>104</v>
      </c>
      <c r="R69" s="484" t="s">
        <v>105</v>
      </c>
      <c r="S69" s="484" t="s">
        <v>106</v>
      </c>
      <c r="T69" s="484" t="s">
        <v>107</v>
      </c>
      <c r="U69" s="484" t="s">
        <v>108</v>
      </c>
      <c r="V69" s="820" t="s">
        <v>109</v>
      </c>
      <c r="W69" s="485" t="s">
        <v>103</v>
      </c>
      <c r="X69" s="485" t="s">
        <v>104</v>
      </c>
      <c r="Y69" s="485" t="s">
        <v>104</v>
      </c>
      <c r="Z69" s="485" t="s">
        <v>105</v>
      </c>
      <c r="AA69" s="485" t="s">
        <v>106</v>
      </c>
      <c r="AB69" s="485" t="s">
        <v>107</v>
      </c>
      <c r="AC69" s="485" t="s">
        <v>108</v>
      </c>
      <c r="AD69" s="820" t="s">
        <v>109</v>
      </c>
      <c r="AE69" s="486" t="s">
        <v>103</v>
      </c>
      <c r="AF69" s="486" t="s">
        <v>104</v>
      </c>
      <c r="AG69" s="486" t="s">
        <v>104</v>
      </c>
      <c r="AH69" s="487" t="s">
        <v>105</v>
      </c>
      <c r="AI69" s="487" t="s">
        <v>106</v>
      </c>
      <c r="AJ69" s="487" t="s">
        <v>107</v>
      </c>
      <c r="AK69" s="487" t="s">
        <v>108</v>
      </c>
      <c r="AL69" s="820" t="s">
        <v>109</v>
      </c>
    </row>
    <row r="70" spans="2:38">
      <c r="B70" s="676"/>
      <c r="C70" s="676"/>
      <c r="D70" s="196" t="s">
        <v>112</v>
      </c>
      <c r="E70" s="482" t="s">
        <v>845</v>
      </c>
      <c r="F70" s="196" t="s">
        <v>113</v>
      </c>
      <c r="G70" s="816">
        <v>7</v>
      </c>
      <c r="H70" s="816">
        <v>8</v>
      </c>
      <c r="I70" s="816">
        <v>9</v>
      </c>
      <c r="J70" s="816">
        <v>10</v>
      </c>
      <c r="K70" s="816">
        <v>11</v>
      </c>
      <c r="L70" s="816">
        <v>12</v>
      </c>
      <c r="M70" s="816">
        <v>13</v>
      </c>
      <c r="N70" s="820"/>
      <c r="O70" s="816">
        <v>14</v>
      </c>
      <c r="P70" s="816">
        <v>15</v>
      </c>
      <c r="Q70" s="816">
        <v>16</v>
      </c>
      <c r="R70" s="816">
        <v>17</v>
      </c>
      <c r="S70" s="816">
        <v>18</v>
      </c>
      <c r="T70" s="816">
        <v>19</v>
      </c>
      <c r="U70" s="816">
        <v>20</v>
      </c>
      <c r="V70" s="820"/>
      <c r="W70" s="816">
        <v>21</v>
      </c>
      <c r="X70" s="816">
        <v>22</v>
      </c>
      <c r="Y70" s="816">
        <v>23</v>
      </c>
      <c r="Z70" s="816">
        <v>24</v>
      </c>
      <c r="AA70" s="816">
        <v>25</v>
      </c>
      <c r="AB70" s="816">
        <v>26</v>
      </c>
      <c r="AC70" s="816">
        <v>27</v>
      </c>
      <c r="AD70" s="820"/>
      <c r="AE70" s="816">
        <v>28</v>
      </c>
      <c r="AF70" s="816">
        <v>29</v>
      </c>
      <c r="AG70" s="816">
        <v>30</v>
      </c>
      <c r="AH70" s="816">
        <v>1</v>
      </c>
      <c r="AI70" s="816">
        <v>2</v>
      </c>
      <c r="AJ70" s="816">
        <v>3</v>
      </c>
      <c r="AK70" s="816">
        <v>4</v>
      </c>
      <c r="AL70" s="820"/>
    </row>
    <row r="71" spans="2:38">
      <c r="B71" s="676"/>
      <c r="C71" s="676"/>
      <c r="D71" s="325" t="s">
        <v>42</v>
      </c>
      <c r="E71" s="218" t="s">
        <v>114</v>
      </c>
      <c r="F71" s="218" t="s">
        <v>115</v>
      </c>
      <c r="G71" s="816"/>
      <c r="H71" s="816"/>
      <c r="I71" s="816"/>
      <c r="J71" s="816"/>
      <c r="K71" s="816"/>
      <c r="L71" s="816"/>
      <c r="M71" s="816"/>
      <c r="N71" s="820"/>
      <c r="O71" s="816"/>
      <c r="P71" s="816"/>
      <c r="Q71" s="816"/>
      <c r="R71" s="816"/>
      <c r="S71" s="816"/>
      <c r="T71" s="816"/>
      <c r="U71" s="816"/>
      <c r="V71" s="820"/>
      <c r="W71" s="816"/>
      <c r="X71" s="816"/>
      <c r="Y71" s="816"/>
      <c r="Z71" s="816"/>
      <c r="AA71" s="816"/>
      <c r="AB71" s="816"/>
      <c r="AC71" s="816"/>
      <c r="AD71" s="820"/>
      <c r="AE71" s="816"/>
      <c r="AF71" s="816"/>
      <c r="AG71" s="816"/>
      <c r="AH71" s="816"/>
      <c r="AI71" s="816"/>
      <c r="AJ71" s="816"/>
      <c r="AK71" s="816"/>
      <c r="AL71" s="820"/>
    </row>
    <row r="72" spans="2:38">
      <c r="B72" s="337" t="s">
        <v>243</v>
      </c>
      <c r="C72" s="355" t="s">
        <v>168</v>
      </c>
      <c r="D72" s="198">
        <v>1</v>
      </c>
      <c r="E72" s="195" t="s">
        <v>784</v>
      </c>
      <c r="F72" s="195" t="s">
        <v>197</v>
      </c>
      <c r="G72" s="606" t="s">
        <v>117</v>
      </c>
      <c r="H72" s="331" t="s">
        <v>117</v>
      </c>
      <c r="I72" s="333" t="s">
        <v>108</v>
      </c>
      <c r="J72" s="333" t="s">
        <v>108</v>
      </c>
      <c r="K72" s="333" t="s">
        <v>108</v>
      </c>
      <c r="L72" s="333" t="s">
        <v>108</v>
      </c>
      <c r="M72" s="333" t="s">
        <v>108</v>
      </c>
      <c r="N72" s="426">
        <v>60</v>
      </c>
      <c r="O72" s="125" t="s">
        <v>117</v>
      </c>
      <c r="P72" s="333" t="s">
        <v>108</v>
      </c>
      <c r="Q72" s="333" t="s">
        <v>108</v>
      </c>
      <c r="R72" s="333" t="s">
        <v>108</v>
      </c>
      <c r="S72" s="333" t="s">
        <v>108</v>
      </c>
      <c r="T72" s="333" t="s">
        <v>108</v>
      </c>
      <c r="U72" s="333" t="s">
        <v>108</v>
      </c>
      <c r="V72" s="426">
        <v>72</v>
      </c>
      <c r="W72" s="331" t="s">
        <v>117</v>
      </c>
      <c r="X72" s="331" t="s">
        <v>117</v>
      </c>
      <c r="Y72" s="333" t="s">
        <v>108</v>
      </c>
      <c r="Z72" s="333" t="s">
        <v>108</v>
      </c>
      <c r="AA72" s="333" t="s">
        <v>108</v>
      </c>
      <c r="AB72" s="333" t="s">
        <v>108</v>
      </c>
      <c r="AC72" s="333" t="s">
        <v>108</v>
      </c>
      <c r="AD72" s="426">
        <v>60</v>
      </c>
      <c r="AE72" s="125" t="s">
        <v>117</v>
      </c>
      <c r="AF72" s="333" t="s">
        <v>108</v>
      </c>
      <c r="AG72" s="333" t="s">
        <v>108</v>
      </c>
      <c r="AH72" s="333" t="s">
        <v>108</v>
      </c>
      <c r="AI72" s="333" t="s">
        <v>108</v>
      </c>
      <c r="AJ72" s="333" t="s">
        <v>108</v>
      </c>
      <c r="AK72" s="333" t="s">
        <v>108</v>
      </c>
      <c r="AL72" s="426">
        <v>60</v>
      </c>
    </row>
    <row r="73" spans="2:38">
      <c r="N73" s="132"/>
      <c r="V73" s="132"/>
      <c r="AD73" s="132"/>
      <c r="AL73" s="132"/>
    </row>
    <row r="74" spans="2:38" ht="15" customHeight="1">
      <c r="B74" s="676" t="s">
        <v>126</v>
      </c>
      <c r="C74" s="676" t="s">
        <v>127</v>
      </c>
      <c r="D74" s="196" t="s">
        <v>101</v>
      </c>
      <c r="E74" s="482" t="s">
        <v>44</v>
      </c>
      <c r="F74" s="196" t="s">
        <v>102</v>
      </c>
      <c r="G74" s="483" t="s">
        <v>103</v>
      </c>
      <c r="H74" s="483" t="s">
        <v>104</v>
      </c>
      <c r="I74" s="483" t="s">
        <v>104</v>
      </c>
      <c r="J74" s="483" t="s">
        <v>105</v>
      </c>
      <c r="K74" s="483" t="s">
        <v>106</v>
      </c>
      <c r="L74" s="483" t="s">
        <v>107</v>
      </c>
      <c r="M74" s="483" t="s">
        <v>108</v>
      </c>
      <c r="N74" s="820" t="s">
        <v>109</v>
      </c>
      <c r="O74" s="484" t="s">
        <v>103</v>
      </c>
      <c r="P74" s="484" t="s">
        <v>104</v>
      </c>
      <c r="Q74" s="484" t="s">
        <v>104</v>
      </c>
      <c r="R74" s="484" t="s">
        <v>105</v>
      </c>
      <c r="S74" s="484" t="s">
        <v>106</v>
      </c>
      <c r="T74" s="484" t="s">
        <v>107</v>
      </c>
      <c r="U74" s="484" t="s">
        <v>108</v>
      </c>
      <c r="V74" s="820" t="s">
        <v>109</v>
      </c>
      <c r="W74" s="485" t="s">
        <v>103</v>
      </c>
      <c r="X74" s="485" t="s">
        <v>104</v>
      </c>
      <c r="Y74" s="485" t="s">
        <v>104</v>
      </c>
      <c r="Z74" s="485" t="s">
        <v>105</v>
      </c>
      <c r="AA74" s="485" t="s">
        <v>106</v>
      </c>
      <c r="AB74" s="485" t="s">
        <v>107</v>
      </c>
      <c r="AC74" s="485" t="s">
        <v>108</v>
      </c>
      <c r="AD74" s="820" t="s">
        <v>109</v>
      </c>
      <c r="AE74" s="486" t="s">
        <v>103</v>
      </c>
      <c r="AF74" s="486" t="s">
        <v>104</v>
      </c>
      <c r="AG74" s="486" t="s">
        <v>104</v>
      </c>
      <c r="AH74" s="487" t="s">
        <v>105</v>
      </c>
      <c r="AI74" s="487" t="s">
        <v>106</v>
      </c>
      <c r="AJ74" s="487" t="s">
        <v>107</v>
      </c>
      <c r="AK74" s="487" t="s">
        <v>108</v>
      </c>
      <c r="AL74" s="820" t="s">
        <v>109</v>
      </c>
    </row>
    <row r="75" spans="2:38">
      <c r="B75" s="676"/>
      <c r="C75" s="676"/>
      <c r="D75" s="196" t="s">
        <v>112</v>
      </c>
      <c r="E75" s="482" t="s">
        <v>845</v>
      </c>
      <c r="F75" s="196" t="s">
        <v>113</v>
      </c>
      <c r="G75" s="816">
        <v>7</v>
      </c>
      <c r="H75" s="816">
        <v>8</v>
      </c>
      <c r="I75" s="816">
        <v>9</v>
      </c>
      <c r="J75" s="816">
        <v>10</v>
      </c>
      <c r="K75" s="816">
        <v>11</v>
      </c>
      <c r="L75" s="816">
        <v>12</v>
      </c>
      <c r="M75" s="816">
        <v>13</v>
      </c>
      <c r="N75" s="820"/>
      <c r="O75" s="816">
        <v>14</v>
      </c>
      <c r="P75" s="816">
        <v>15</v>
      </c>
      <c r="Q75" s="816">
        <v>16</v>
      </c>
      <c r="R75" s="816">
        <v>17</v>
      </c>
      <c r="S75" s="816">
        <v>18</v>
      </c>
      <c r="T75" s="816">
        <v>19</v>
      </c>
      <c r="U75" s="816">
        <v>20</v>
      </c>
      <c r="V75" s="820"/>
      <c r="W75" s="816">
        <v>21</v>
      </c>
      <c r="X75" s="816">
        <v>22</v>
      </c>
      <c r="Y75" s="816">
        <v>23</v>
      </c>
      <c r="Z75" s="816">
        <v>24</v>
      </c>
      <c r="AA75" s="816">
        <v>25</v>
      </c>
      <c r="AB75" s="816">
        <v>26</v>
      </c>
      <c r="AC75" s="816">
        <v>27</v>
      </c>
      <c r="AD75" s="820"/>
      <c r="AE75" s="816">
        <v>28</v>
      </c>
      <c r="AF75" s="816">
        <v>29</v>
      </c>
      <c r="AG75" s="816">
        <v>30</v>
      </c>
      <c r="AH75" s="816">
        <v>1</v>
      </c>
      <c r="AI75" s="816">
        <v>2</v>
      </c>
      <c r="AJ75" s="816">
        <v>3</v>
      </c>
      <c r="AK75" s="816">
        <v>4</v>
      </c>
      <c r="AL75" s="820"/>
    </row>
    <row r="76" spans="2:38">
      <c r="B76" s="676"/>
      <c r="C76" s="676"/>
      <c r="D76" s="325" t="s">
        <v>42</v>
      </c>
      <c r="E76" s="218" t="s">
        <v>114</v>
      </c>
      <c r="F76" s="218" t="s">
        <v>115</v>
      </c>
      <c r="G76" s="816"/>
      <c r="H76" s="816"/>
      <c r="I76" s="816"/>
      <c r="J76" s="816"/>
      <c r="K76" s="816"/>
      <c r="L76" s="816"/>
      <c r="M76" s="816"/>
      <c r="N76" s="820"/>
      <c r="O76" s="816"/>
      <c r="P76" s="816"/>
      <c r="Q76" s="816"/>
      <c r="R76" s="816"/>
      <c r="S76" s="816"/>
      <c r="T76" s="816"/>
      <c r="U76" s="816"/>
      <c r="V76" s="820"/>
      <c r="W76" s="816"/>
      <c r="X76" s="816"/>
      <c r="Y76" s="816"/>
      <c r="Z76" s="816"/>
      <c r="AA76" s="816"/>
      <c r="AB76" s="816"/>
      <c r="AC76" s="816"/>
      <c r="AD76" s="820"/>
      <c r="AE76" s="816"/>
      <c r="AF76" s="816"/>
      <c r="AG76" s="816"/>
      <c r="AH76" s="816"/>
      <c r="AI76" s="816"/>
      <c r="AJ76" s="816"/>
      <c r="AK76" s="816"/>
      <c r="AL76" s="820"/>
    </row>
    <row r="77" spans="2:38">
      <c r="B77" s="339" t="s">
        <v>199</v>
      </c>
      <c r="C77" s="340" t="s">
        <v>44</v>
      </c>
      <c r="D77" s="198">
        <v>1</v>
      </c>
      <c r="E77" s="195" t="s">
        <v>777</v>
      </c>
      <c r="F77" s="195" t="s">
        <v>778</v>
      </c>
      <c r="G77" s="333" t="s">
        <v>116</v>
      </c>
      <c r="H77" s="333" t="s">
        <v>116</v>
      </c>
      <c r="I77" s="333" t="s">
        <v>116</v>
      </c>
      <c r="J77" s="331" t="s">
        <v>117</v>
      </c>
      <c r="K77" s="334" t="s">
        <v>116</v>
      </c>
      <c r="L77" s="334" t="s">
        <v>116</v>
      </c>
      <c r="M77" s="334" t="s">
        <v>116</v>
      </c>
      <c r="N77" s="427">
        <v>72</v>
      </c>
      <c r="O77" s="333" t="s">
        <v>116</v>
      </c>
      <c r="P77" s="333" t="s">
        <v>116</v>
      </c>
      <c r="Q77" s="335" t="s">
        <v>117</v>
      </c>
      <c r="R77" s="335" t="s">
        <v>117</v>
      </c>
      <c r="S77" s="333" t="s">
        <v>116</v>
      </c>
      <c r="T77" s="333" t="s">
        <v>116</v>
      </c>
      <c r="U77" s="333" t="s">
        <v>116</v>
      </c>
      <c r="V77" s="427">
        <v>60</v>
      </c>
      <c r="W77" s="333" t="s">
        <v>116</v>
      </c>
      <c r="X77" s="333" t="s">
        <v>116</v>
      </c>
      <c r="Y77" s="333" t="s">
        <v>116</v>
      </c>
      <c r="Z77" s="332" t="s">
        <v>117</v>
      </c>
      <c r="AA77" s="334" t="s">
        <v>116</v>
      </c>
      <c r="AB77" s="334" t="s">
        <v>116</v>
      </c>
      <c r="AC77" s="334" t="s">
        <v>116</v>
      </c>
      <c r="AD77" s="426">
        <v>72</v>
      </c>
      <c r="AE77" s="333" t="s">
        <v>116</v>
      </c>
      <c r="AF77" s="333" t="s">
        <v>116</v>
      </c>
      <c r="AG77" s="331" t="s">
        <v>117</v>
      </c>
      <c r="AH77" s="331" t="s">
        <v>117</v>
      </c>
      <c r="AI77" s="333" t="s">
        <v>116</v>
      </c>
      <c r="AJ77" s="333" t="s">
        <v>116</v>
      </c>
      <c r="AK77" s="333" t="s">
        <v>116</v>
      </c>
      <c r="AL77" s="426">
        <v>72</v>
      </c>
    </row>
    <row r="78" spans="2:38">
      <c r="B78" s="353"/>
      <c r="C78" s="353"/>
    </row>
    <row r="79" spans="2:38" ht="15" customHeight="1">
      <c r="B79" s="676" t="s">
        <v>126</v>
      </c>
      <c r="C79" s="676" t="s">
        <v>127</v>
      </c>
      <c r="D79" s="196" t="s">
        <v>101</v>
      </c>
      <c r="E79" s="482" t="s">
        <v>200</v>
      </c>
      <c r="F79" s="196" t="s">
        <v>102</v>
      </c>
      <c r="G79" s="483" t="s">
        <v>103</v>
      </c>
      <c r="H79" s="483" t="s">
        <v>104</v>
      </c>
      <c r="I79" s="483" t="s">
        <v>104</v>
      </c>
      <c r="J79" s="483" t="s">
        <v>105</v>
      </c>
      <c r="K79" s="483" t="s">
        <v>106</v>
      </c>
      <c r="L79" s="483" t="s">
        <v>107</v>
      </c>
      <c r="M79" s="483" t="s">
        <v>108</v>
      </c>
      <c r="N79" s="820" t="s">
        <v>109</v>
      </c>
      <c r="O79" s="484" t="s">
        <v>103</v>
      </c>
      <c r="P79" s="484" t="s">
        <v>104</v>
      </c>
      <c r="Q79" s="484" t="s">
        <v>104</v>
      </c>
      <c r="R79" s="484" t="s">
        <v>105</v>
      </c>
      <c r="S79" s="484" t="s">
        <v>106</v>
      </c>
      <c r="T79" s="484" t="s">
        <v>107</v>
      </c>
      <c r="U79" s="484" t="s">
        <v>108</v>
      </c>
      <c r="V79" s="820" t="s">
        <v>109</v>
      </c>
      <c r="W79" s="485" t="s">
        <v>103</v>
      </c>
      <c r="X79" s="485" t="s">
        <v>104</v>
      </c>
      <c r="Y79" s="485" t="s">
        <v>104</v>
      </c>
      <c r="Z79" s="485" t="s">
        <v>105</v>
      </c>
      <c r="AA79" s="485" t="s">
        <v>106</v>
      </c>
      <c r="AB79" s="485" t="s">
        <v>107</v>
      </c>
      <c r="AC79" s="485" t="s">
        <v>108</v>
      </c>
      <c r="AD79" s="820" t="s">
        <v>109</v>
      </c>
      <c r="AE79" s="486" t="s">
        <v>103</v>
      </c>
      <c r="AF79" s="486" t="s">
        <v>104</v>
      </c>
      <c r="AG79" s="486" t="s">
        <v>104</v>
      </c>
      <c r="AH79" s="487" t="s">
        <v>105</v>
      </c>
      <c r="AI79" s="487" t="s">
        <v>106</v>
      </c>
      <c r="AJ79" s="487" t="s">
        <v>107</v>
      </c>
      <c r="AK79" s="487" t="s">
        <v>108</v>
      </c>
      <c r="AL79" s="644" t="s">
        <v>109</v>
      </c>
    </row>
    <row r="80" spans="2:38">
      <c r="B80" s="676"/>
      <c r="C80" s="676"/>
      <c r="D80" s="196" t="s">
        <v>112</v>
      </c>
      <c r="E80" s="482" t="s">
        <v>845</v>
      </c>
      <c r="F80" s="196" t="s">
        <v>113</v>
      </c>
      <c r="G80" s="816">
        <v>7</v>
      </c>
      <c r="H80" s="816">
        <v>8</v>
      </c>
      <c r="I80" s="816">
        <v>9</v>
      </c>
      <c r="J80" s="816">
        <v>10</v>
      </c>
      <c r="K80" s="816">
        <v>11</v>
      </c>
      <c r="L80" s="816">
        <v>12</v>
      </c>
      <c r="M80" s="816">
        <v>13</v>
      </c>
      <c r="N80" s="820"/>
      <c r="O80" s="816">
        <v>14</v>
      </c>
      <c r="P80" s="816">
        <v>15</v>
      </c>
      <c r="Q80" s="816">
        <v>16</v>
      </c>
      <c r="R80" s="816">
        <v>17</v>
      </c>
      <c r="S80" s="816">
        <v>18</v>
      </c>
      <c r="T80" s="816">
        <v>19</v>
      </c>
      <c r="U80" s="816">
        <v>20</v>
      </c>
      <c r="V80" s="820"/>
      <c r="W80" s="816">
        <v>21</v>
      </c>
      <c r="X80" s="816">
        <v>22</v>
      </c>
      <c r="Y80" s="816">
        <v>23</v>
      </c>
      <c r="Z80" s="816">
        <v>24</v>
      </c>
      <c r="AA80" s="816">
        <v>25</v>
      </c>
      <c r="AB80" s="816">
        <v>26</v>
      </c>
      <c r="AC80" s="816">
        <v>27</v>
      </c>
      <c r="AD80" s="820"/>
      <c r="AE80" s="816">
        <v>28</v>
      </c>
      <c r="AF80" s="816">
        <v>29</v>
      </c>
      <c r="AG80" s="816">
        <v>30</v>
      </c>
      <c r="AH80" s="816">
        <v>1</v>
      </c>
      <c r="AI80" s="816">
        <v>2</v>
      </c>
      <c r="AJ80" s="816">
        <v>3</v>
      </c>
      <c r="AK80" s="816">
        <v>4</v>
      </c>
      <c r="AL80" s="644"/>
    </row>
    <row r="81" spans="2:46">
      <c r="B81" s="676"/>
      <c r="C81" s="676"/>
      <c r="D81" s="325" t="s">
        <v>42</v>
      </c>
      <c r="E81" s="218" t="s">
        <v>114</v>
      </c>
      <c r="F81" s="218" t="s">
        <v>115</v>
      </c>
      <c r="G81" s="816"/>
      <c r="H81" s="816"/>
      <c r="I81" s="816"/>
      <c r="J81" s="816"/>
      <c r="K81" s="816"/>
      <c r="L81" s="816"/>
      <c r="M81" s="816"/>
      <c r="N81" s="820"/>
      <c r="O81" s="816"/>
      <c r="P81" s="816"/>
      <c r="Q81" s="816"/>
      <c r="R81" s="816"/>
      <c r="S81" s="816"/>
      <c r="T81" s="816"/>
      <c r="U81" s="816"/>
      <c r="V81" s="820"/>
      <c r="W81" s="816"/>
      <c r="X81" s="816"/>
      <c r="Y81" s="816"/>
      <c r="Z81" s="816"/>
      <c r="AA81" s="816"/>
      <c r="AB81" s="816"/>
      <c r="AC81" s="816"/>
      <c r="AD81" s="820"/>
      <c r="AE81" s="816"/>
      <c r="AF81" s="816"/>
      <c r="AG81" s="816"/>
      <c r="AH81" s="816"/>
      <c r="AI81" s="816"/>
      <c r="AJ81" s="816"/>
      <c r="AK81" s="816"/>
      <c r="AL81" s="644"/>
    </row>
    <row r="82" spans="2:46">
      <c r="B82" s="339" t="s">
        <v>201</v>
      </c>
      <c r="C82" s="340" t="s">
        <v>200</v>
      </c>
      <c r="D82" s="198">
        <v>1</v>
      </c>
      <c r="E82" s="195" t="s">
        <v>512</v>
      </c>
      <c r="F82" s="195" t="s">
        <v>513</v>
      </c>
      <c r="G82" s="333" t="s">
        <v>108</v>
      </c>
      <c r="H82" s="333" t="s">
        <v>108</v>
      </c>
      <c r="I82" s="333" t="s">
        <v>108</v>
      </c>
      <c r="J82" s="333" t="s">
        <v>108</v>
      </c>
      <c r="K82" s="333" t="s">
        <v>108</v>
      </c>
      <c r="L82" s="346" t="s">
        <v>108</v>
      </c>
      <c r="M82" s="331" t="s">
        <v>117</v>
      </c>
      <c r="N82" s="426">
        <v>72</v>
      </c>
      <c r="O82" s="333" t="s">
        <v>108</v>
      </c>
      <c r="P82" s="333" t="s">
        <v>108</v>
      </c>
      <c r="Q82" s="333" t="s">
        <v>108</v>
      </c>
      <c r="R82" s="333" t="s">
        <v>108</v>
      </c>
      <c r="S82" s="333" t="s">
        <v>108</v>
      </c>
      <c r="T82" s="331" t="s">
        <v>117</v>
      </c>
      <c r="U82" s="331" t="s">
        <v>117</v>
      </c>
      <c r="V82" s="426">
        <v>60</v>
      </c>
      <c r="W82" s="333" t="s">
        <v>108</v>
      </c>
      <c r="X82" s="333" t="s">
        <v>108</v>
      </c>
      <c r="Y82" s="333" t="s">
        <v>108</v>
      </c>
      <c r="Z82" s="333" t="s">
        <v>108</v>
      </c>
      <c r="AA82" s="333" t="s">
        <v>108</v>
      </c>
      <c r="AB82" s="333" t="s">
        <v>108</v>
      </c>
      <c r="AC82" s="331" t="s">
        <v>117</v>
      </c>
      <c r="AD82" s="426">
        <v>72</v>
      </c>
      <c r="AE82" s="333" t="s">
        <v>108</v>
      </c>
      <c r="AF82" s="333" t="s">
        <v>108</v>
      </c>
      <c r="AG82" s="333" t="s">
        <v>108</v>
      </c>
      <c r="AH82" s="333" t="s">
        <v>108</v>
      </c>
      <c r="AI82" s="333" t="s">
        <v>108</v>
      </c>
      <c r="AJ82" s="331" t="s">
        <v>117</v>
      </c>
      <c r="AK82" s="331" t="s">
        <v>117</v>
      </c>
      <c r="AL82" s="426">
        <v>72</v>
      </c>
      <c r="AM82" s="23"/>
    </row>
    <row r="83" spans="2:46">
      <c r="B83" s="353"/>
      <c r="C83" s="353"/>
    </row>
    <row r="84" spans="2:46" ht="15" customHeight="1">
      <c r="B84" s="676" t="s">
        <v>126</v>
      </c>
      <c r="C84" s="676" t="s">
        <v>127</v>
      </c>
      <c r="D84" s="196" t="s">
        <v>101</v>
      </c>
      <c r="E84" s="482" t="s">
        <v>241</v>
      </c>
      <c r="F84" s="196" t="s">
        <v>102</v>
      </c>
      <c r="G84" s="483" t="s">
        <v>103</v>
      </c>
      <c r="H84" s="483" t="s">
        <v>104</v>
      </c>
      <c r="I84" s="483" t="s">
        <v>104</v>
      </c>
      <c r="J84" s="483" t="s">
        <v>105</v>
      </c>
      <c r="K84" s="483" t="s">
        <v>106</v>
      </c>
      <c r="L84" s="483" t="s">
        <v>107</v>
      </c>
      <c r="M84" s="483" t="s">
        <v>108</v>
      </c>
      <c r="N84" s="820" t="s">
        <v>109</v>
      </c>
      <c r="O84" s="484" t="s">
        <v>103</v>
      </c>
      <c r="P84" s="484" t="s">
        <v>104</v>
      </c>
      <c r="Q84" s="484" t="s">
        <v>104</v>
      </c>
      <c r="R84" s="484" t="s">
        <v>105</v>
      </c>
      <c r="S84" s="484" t="s">
        <v>106</v>
      </c>
      <c r="T84" s="484" t="s">
        <v>107</v>
      </c>
      <c r="U84" s="484" t="s">
        <v>108</v>
      </c>
      <c r="V84" s="820" t="s">
        <v>109</v>
      </c>
      <c r="W84" s="485" t="s">
        <v>103</v>
      </c>
      <c r="X84" s="485" t="s">
        <v>104</v>
      </c>
      <c r="Y84" s="485" t="s">
        <v>104</v>
      </c>
      <c r="Z84" s="485" t="s">
        <v>105</v>
      </c>
      <c r="AA84" s="485" t="s">
        <v>106</v>
      </c>
      <c r="AB84" s="485" t="s">
        <v>107</v>
      </c>
      <c r="AC84" s="485" t="s">
        <v>108</v>
      </c>
      <c r="AD84" s="820" t="s">
        <v>109</v>
      </c>
      <c r="AE84" s="486" t="s">
        <v>103</v>
      </c>
      <c r="AF84" s="486" t="s">
        <v>104</v>
      </c>
      <c r="AG84" s="486" t="s">
        <v>104</v>
      </c>
      <c r="AH84" s="487" t="s">
        <v>105</v>
      </c>
      <c r="AI84" s="487" t="s">
        <v>106</v>
      </c>
      <c r="AJ84" s="487" t="s">
        <v>107</v>
      </c>
      <c r="AK84" s="487" t="s">
        <v>108</v>
      </c>
      <c r="AL84" s="820" t="s">
        <v>109</v>
      </c>
    </row>
    <row r="85" spans="2:46">
      <c r="B85" s="676"/>
      <c r="C85" s="676"/>
      <c r="D85" s="196" t="s">
        <v>112</v>
      </c>
      <c r="E85" s="482" t="s">
        <v>845</v>
      </c>
      <c r="F85" s="196" t="s">
        <v>113</v>
      </c>
      <c r="G85" s="816">
        <v>7</v>
      </c>
      <c r="H85" s="816">
        <v>8</v>
      </c>
      <c r="I85" s="816">
        <v>9</v>
      </c>
      <c r="J85" s="816">
        <v>10</v>
      </c>
      <c r="K85" s="816">
        <v>11</v>
      </c>
      <c r="L85" s="816">
        <v>12</v>
      </c>
      <c r="M85" s="816">
        <v>13</v>
      </c>
      <c r="N85" s="820"/>
      <c r="O85" s="816">
        <v>14</v>
      </c>
      <c r="P85" s="816">
        <v>15</v>
      </c>
      <c r="Q85" s="816">
        <v>16</v>
      </c>
      <c r="R85" s="816">
        <v>17</v>
      </c>
      <c r="S85" s="816">
        <v>18</v>
      </c>
      <c r="T85" s="816">
        <v>19</v>
      </c>
      <c r="U85" s="816">
        <v>20</v>
      </c>
      <c r="V85" s="820"/>
      <c r="W85" s="816">
        <v>21</v>
      </c>
      <c r="X85" s="816">
        <v>22</v>
      </c>
      <c r="Y85" s="816">
        <v>23</v>
      </c>
      <c r="Z85" s="816">
        <v>24</v>
      </c>
      <c r="AA85" s="816">
        <v>25</v>
      </c>
      <c r="AB85" s="816">
        <v>26</v>
      </c>
      <c r="AC85" s="816">
        <v>27</v>
      </c>
      <c r="AD85" s="820"/>
      <c r="AE85" s="816">
        <v>28</v>
      </c>
      <c r="AF85" s="816">
        <v>29</v>
      </c>
      <c r="AG85" s="816">
        <v>30</v>
      </c>
      <c r="AH85" s="816">
        <v>1</v>
      </c>
      <c r="AI85" s="816">
        <v>2</v>
      </c>
      <c r="AJ85" s="816">
        <v>3</v>
      </c>
      <c r="AK85" s="816">
        <v>4</v>
      </c>
      <c r="AL85" s="820"/>
    </row>
    <row r="86" spans="2:46">
      <c r="B86" s="676"/>
      <c r="C86" s="676"/>
      <c r="D86" s="325" t="s">
        <v>42</v>
      </c>
      <c r="E86" s="218" t="s">
        <v>114</v>
      </c>
      <c r="F86" s="218" t="s">
        <v>115</v>
      </c>
      <c r="G86" s="816"/>
      <c r="H86" s="816"/>
      <c r="I86" s="816"/>
      <c r="J86" s="816"/>
      <c r="K86" s="816"/>
      <c r="L86" s="816"/>
      <c r="M86" s="816"/>
      <c r="N86" s="820"/>
      <c r="O86" s="816"/>
      <c r="P86" s="816"/>
      <c r="Q86" s="816"/>
      <c r="R86" s="816"/>
      <c r="S86" s="816"/>
      <c r="T86" s="816"/>
      <c r="U86" s="816"/>
      <c r="V86" s="820"/>
      <c r="W86" s="816"/>
      <c r="X86" s="816"/>
      <c r="Y86" s="816"/>
      <c r="Z86" s="816"/>
      <c r="AA86" s="816"/>
      <c r="AB86" s="816"/>
      <c r="AC86" s="816"/>
      <c r="AD86" s="820"/>
      <c r="AE86" s="816"/>
      <c r="AF86" s="816"/>
      <c r="AG86" s="816"/>
      <c r="AH86" s="816"/>
      <c r="AI86" s="816"/>
      <c r="AJ86" s="816"/>
      <c r="AK86" s="816"/>
      <c r="AL86" s="820"/>
    </row>
    <row r="87" spans="2:46">
      <c r="B87" s="804" t="s">
        <v>193</v>
      </c>
      <c r="C87" s="821" t="s">
        <v>203</v>
      </c>
      <c r="D87" s="198">
        <v>1</v>
      </c>
      <c r="E87" s="195" t="s">
        <v>802</v>
      </c>
      <c r="F87" s="195" t="s">
        <v>803</v>
      </c>
      <c r="G87" s="126" t="s">
        <v>108</v>
      </c>
      <c r="H87" s="333" t="s">
        <v>116</v>
      </c>
      <c r="I87" s="333" t="s">
        <v>116</v>
      </c>
      <c r="J87" s="347" t="s">
        <v>116</v>
      </c>
      <c r="K87" s="333" t="s">
        <v>116</v>
      </c>
      <c r="L87" s="125" t="s">
        <v>117</v>
      </c>
      <c r="M87" s="178" t="s">
        <v>108</v>
      </c>
      <c r="N87" s="427">
        <v>72</v>
      </c>
      <c r="O87" s="126" t="s">
        <v>108</v>
      </c>
      <c r="P87" s="126" t="s">
        <v>116</v>
      </c>
      <c r="Q87" s="347" t="s">
        <v>116</v>
      </c>
      <c r="R87" s="347" t="s">
        <v>116</v>
      </c>
      <c r="S87" s="125" t="s">
        <v>117</v>
      </c>
      <c r="T87" s="178" t="s">
        <v>108</v>
      </c>
      <c r="U87" s="178" t="s">
        <v>108</v>
      </c>
      <c r="V87" s="426">
        <v>72</v>
      </c>
      <c r="W87" s="126" t="s">
        <v>108</v>
      </c>
      <c r="X87" s="126" t="s">
        <v>116</v>
      </c>
      <c r="Y87" s="126" t="s">
        <v>116</v>
      </c>
      <c r="Z87" s="347" t="s">
        <v>116</v>
      </c>
      <c r="AA87" s="125" t="s">
        <v>117</v>
      </c>
      <c r="AB87" s="125" t="s">
        <v>117</v>
      </c>
      <c r="AC87" s="178" t="s">
        <v>108</v>
      </c>
      <c r="AD87" s="426">
        <v>60</v>
      </c>
      <c r="AE87" s="126" t="s">
        <v>108</v>
      </c>
      <c r="AF87" s="126" t="s">
        <v>116</v>
      </c>
      <c r="AG87" s="347" t="s">
        <v>116</v>
      </c>
      <c r="AH87" s="347" t="s">
        <v>116</v>
      </c>
      <c r="AI87" s="125" t="s">
        <v>117</v>
      </c>
      <c r="AJ87" s="178" t="s">
        <v>108</v>
      </c>
      <c r="AK87" s="178" t="s">
        <v>108</v>
      </c>
      <c r="AL87" s="426">
        <v>60</v>
      </c>
      <c r="AM87" s="23"/>
    </row>
    <row r="88" spans="2:46">
      <c r="B88" s="804"/>
      <c r="C88" s="821"/>
      <c r="D88" s="198">
        <v>2</v>
      </c>
      <c r="E88" s="195" t="s">
        <v>854</v>
      </c>
      <c r="F88" s="195" t="s">
        <v>514</v>
      </c>
      <c r="G88" s="125" t="s">
        <v>117</v>
      </c>
      <c r="H88" s="333" t="s">
        <v>108</v>
      </c>
      <c r="I88" s="333" t="s">
        <v>108</v>
      </c>
      <c r="J88" s="333" t="s">
        <v>116</v>
      </c>
      <c r="K88" s="125" t="s">
        <v>117</v>
      </c>
      <c r="L88" s="348" t="s">
        <v>116</v>
      </c>
      <c r="M88" s="348" t="s">
        <v>116</v>
      </c>
      <c r="N88" s="427">
        <v>60</v>
      </c>
      <c r="O88" s="331" t="s">
        <v>117</v>
      </c>
      <c r="P88" s="333" t="s">
        <v>108</v>
      </c>
      <c r="Q88" s="129" t="s">
        <v>116</v>
      </c>
      <c r="R88" s="129" t="s">
        <v>116</v>
      </c>
      <c r="S88" s="333" t="s">
        <v>116</v>
      </c>
      <c r="T88" s="333" t="s">
        <v>116</v>
      </c>
      <c r="U88" s="333" t="s">
        <v>116</v>
      </c>
      <c r="V88" s="427">
        <v>72</v>
      </c>
      <c r="W88" s="125" t="s">
        <v>117</v>
      </c>
      <c r="X88" s="333" t="s">
        <v>108</v>
      </c>
      <c r="Y88" s="333" t="s">
        <v>108</v>
      </c>
      <c r="Z88" s="333" t="s">
        <v>116</v>
      </c>
      <c r="AA88" s="333" t="s">
        <v>116</v>
      </c>
      <c r="AB88" s="333" t="s">
        <v>116</v>
      </c>
      <c r="AC88" s="333" t="s">
        <v>116</v>
      </c>
      <c r="AD88" s="427">
        <v>72</v>
      </c>
      <c r="AE88" s="125" t="s">
        <v>117</v>
      </c>
      <c r="AF88" s="333" t="s">
        <v>108</v>
      </c>
      <c r="AG88" s="126" t="s">
        <v>116</v>
      </c>
      <c r="AH88" s="126" t="s">
        <v>116</v>
      </c>
      <c r="AI88" s="333" t="s">
        <v>116</v>
      </c>
      <c r="AJ88" s="333" t="s">
        <v>116</v>
      </c>
      <c r="AK88" s="510" t="s">
        <v>116</v>
      </c>
      <c r="AL88" s="427">
        <v>72</v>
      </c>
    </row>
    <row r="89" spans="2:46">
      <c r="B89" s="804"/>
      <c r="C89" s="821"/>
      <c r="D89" s="198">
        <v>3</v>
      </c>
      <c r="E89" s="195" t="s">
        <v>776</v>
      </c>
      <c r="F89" s="195" t="s">
        <v>810</v>
      </c>
      <c r="G89" s="126" t="s">
        <v>116</v>
      </c>
      <c r="H89" s="125" t="s">
        <v>117</v>
      </c>
      <c r="I89" s="125" t="s">
        <v>117</v>
      </c>
      <c r="J89" s="126" t="s">
        <v>108</v>
      </c>
      <c r="K89" s="126" t="s">
        <v>108</v>
      </c>
      <c r="L89" s="126" t="s">
        <v>108</v>
      </c>
      <c r="M89" s="446" t="s">
        <v>108</v>
      </c>
      <c r="N89" s="426">
        <v>60</v>
      </c>
      <c r="O89" s="126" t="s">
        <v>116</v>
      </c>
      <c r="P89" s="125" t="s">
        <v>117</v>
      </c>
      <c r="Q89" s="126" t="s">
        <v>108</v>
      </c>
      <c r="R89" s="126" t="s">
        <v>108</v>
      </c>
      <c r="S89" s="126" t="s">
        <v>108</v>
      </c>
      <c r="T89" s="446" t="s">
        <v>108</v>
      </c>
      <c r="U89" s="446" t="s">
        <v>108</v>
      </c>
      <c r="V89" s="427">
        <v>72</v>
      </c>
      <c r="W89" s="126" t="s">
        <v>116</v>
      </c>
      <c r="X89" s="125" t="s">
        <v>117</v>
      </c>
      <c r="Y89" s="125" t="s">
        <v>117</v>
      </c>
      <c r="Z89" s="126" t="s">
        <v>108</v>
      </c>
      <c r="AA89" s="126" t="s">
        <v>108</v>
      </c>
      <c r="AB89" s="446" t="s">
        <v>108</v>
      </c>
      <c r="AC89" s="446" t="s">
        <v>108</v>
      </c>
      <c r="AD89" s="426">
        <v>60</v>
      </c>
      <c r="AE89" s="126" t="s">
        <v>116</v>
      </c>
      <c r="AF89" s="125" t="s">
        <v>117</v>
      </c>
      <c r="AG89" s="126" t="s">
        <v>108</v>
      </c>
      <c r="AH89" s="126" t="s">
        <v>108</v>
      </c>
      <c r="AI89" s="126" t="s">
        <v>108</v>
      </c>
      <c r="AJ89" s="446" t="s">
        <v>108</v>
      </c>
      <c r="AK89" s="446" t="s">
        <v>108</v>
      </c>
      <c r="AL89" s="426">
        <v>60</v>
      </c>
    </row>
    <row r="90" spans="2:46">
      <c r="N90" s="132"/>
    </row>
    <row r="91" spans="2:46" ht="15" customHeight="1">
      <c r="B91" s="676" t="s">
        <v>126</v>
      </c>
      <c r="C91" s="676" t="s">
        <v>127</v>
      </c>
      <c r="D91" s="196" t="s">
        <v>101</v>
      </c>
      <c r="E91" s="482" t="s">
        <v>792</v>
      </c>
      <c r="F91" s="196" t="s">
        <v>102</v>
      </c>
      <c r="G91" s="483" t="s">
        <v>103</v>
      </c>
      <c r="H91" s="483" t="s">
        <v>104</v>
      </c>
      <c r="I91" s="483" t="s">
        <v>104</v>
      </c>
      <c r="J91" s="483" t="s">
        <v>105</v>
      </c>
      <c r="K91" s="483" t="s">
        <v>106</v>
      </c>
      <c r="L91" s="483" t="s">
        <v>107</v>
      </c>
      <c r="M91" s="483" t="s">
        <v>108</v>
      </c>
      <c r="N91" s="820" t="s">
        <v>109</v>
      </c>
      <c r="O91" s="484" t="s">
        <v>103</v>
      </c>
      <c r="P91" s="484" t="s">
        <v>104</v>
      </c>
      <c r="Q91" s="484" t="s">
        <v>104</v>
      </c>
      <c r="R91" s="484" t="s">
        <v>105</v>
      </c>
      <c r="S91" s="484" t="s">
        <v>106</v>
      </c>
      <c r="T91" s="484" t="s">
        <v>107</v>
      </c>
      <c r="U91" s="484" t="s">
        <v>108</v>
      </c>
      <c r="V91" s="820" t="s">
        <v>109</v>
      </c>
      <c r="W91" s="485" t="s">
        <v>103</v>
      </c>
      <c r="X91" s="485" t="s">
        <v>104</v>
      </c>
      <c r="Y91" s="485" t="s">
        <v>104</v>
      </c>
      <c r="Z91" s="485" t="s">
        <v>105</v>
      </c>
      <c r="AA91" s="485" t="s">
        <v>106</v>
      </c>
      <c r="AB91" s="485" t="s">
        <v>107</v>
      </c>
      <c r="AC91" s="485" t="s">
        <v>108</v>
      </c>
      <c r="AD91" s="820" t="s">
        <v>109</v>
      </c>
      <c r="AE91" s="486" t="s">
        <v>103</v>
      </c>
      <c r="AF91" s="486" t="s">
        <v>104</v>
      </c>
      <c r="AG91" s="486" t="s">
        <v>104</v>
      </c>
      <c r="AH91" s="487" t="s">
        <v>105</v>
      </c>
      <c r="AI91" s="487" t="s">
        <v>106</v>
      </c>
      <c r="AJ91" s="487" t="s">
        <v>107</v>
      </c>
      <c r="AK91" s="487" t="s">
        <v>108</v>
      </c>
      <c r="AL91" s="820" t="s">
        <v>109</v>
      </c>
    </row>
    <row r="92" spans="2:46">
      <c r="B92" s="676"/>
      <c r="C92" s="676"/>
      <c r="D92" s="196" t="s">
        <v>112</v>
      </c>
      <c r="E92" s="482" t="s">
        <v>845</v>
      </c>
      <c r="F92" s="196" t="s">
        <v>113</v>
      </c>
      <c r="G92" s="816">
        <v>7</v>
      </c>
      <c r="H92" s="816">
        <v>8</v>
      </c>
      <c r="I92" s="816">
        <v>9</v>
      </c>
      <c r="J92" s="816">
        <v>10</v>
      </c>
      <c r="K92" s="816">
        <v>11</v>
      </c>
      <c r="L92" s="816">
        <v>12</v>
      </c>
      <c r="M92" s="816">
        <v>13</v>
      </c>
      <c r="N92" s="820"/>
      <c r="O92" s="816">
        <v>14</v>
      </c>
      <c r="P92" s="816">
        <v>15</v>
      </c>
      <c r="Q92" s="816">
        <v>16</v>
      </c>
      <c r="R92" s="816">
        <v>17</v>
      </c>
      <c r="S92" s="816">
        <v>18</v>
      </c>
      <c r="T92" s="816">
        <v>19</v>
      </c>
      <c r="U92" s="816">
        <v>20</v>
      </c>
      <c r="V92" s="820"/>
      <c r="W92" s="816">
        <v>21</v>
      </c>
      <c r="X92" s="816">
        <v>22</v>
      </c>
      <c r="Y92" s="816">
        <v>23</v>
      </c>
      <c r="Z92" s="816">
        <v>24</v>
      </c>
      <c r="AA92" s="816">
        <v>25</v>
      </c>
      <c r="AB92" s="816">
        <v>26</v>
      </c>
      <c r="AC92" s="816">
        <v>27</v>
      </c>
      <c r="AD92" s="820"/>
      <c r="AE92" s="816">
        <v>28</v>
      </c>
      <c r="AF92" s="816">
        <v>29</v>
      </c>
      <c r="AG92" s="816">
        <v>30</v>
      </c>
      <c r="AH92" s="816">
        <v>1</v>
      </c>
      <c r="AI92" s="816">
        <v>2</v>
      </c>
      <c r="AJ92" s="816">
        <v>3</v>
      </c>
      <c r="AK92" s="816">
        <v>4</v>
      </c>
      <c r="AL92" s="820"/>
    </row>
    <row r="93" spans="2:46">
      <c r="B93" s="676"/>
      <c r="C93" s="676"/>
      <c r="D93" s="325" t="s">
        <v>42</v>
      </c>
      <c r="E93" s="218" t="s">
        <v>114</v>
      </c>
      <c r="F93" s="218" t="s">
        <v>115</v>
      </c>
      <c r="G93" s="816"/>
      <c r="H93" s="816"/>
      <c r="I93" s="816"/>
      <c r="J93" s="816"/>
      <c r="K93" s="816"/>
      <c r="L93" s="816"/>
      <c r="M93" s="816"/>
      <c r="N93" s="820"/>
      <c r="O93" s="816"/>
      <c r="P93" s="816"/>
      <c r="Q93" s="816"/>
      <c r="R93" s="816"/>
      <c r="S93" s="816"/>
      <c r="T93" s="816"/>
      <c r="U93" s="816"/>
      <c r="V93" s="820"/>
      <c r="W93" s="816"/>
      <c r="X93" s="816"/>
      <c r="Y93" s="816"/>
      <c r="Z93" s="816"/>
      <c r="AA93" s="816"/>
      <c r="AB93" s="816"/>
      <c r="AC93" s="816"/>
      <c r="AD93" s="820"/>
      <c r="AE93" s="816"/>
      <c r="AF93" s="816"/>
      <c r="AG93" s="816"/>
      <c r="AH93" s="816"/>
      <c r="AI93" s="816"/>
      <c r="AJ93" s="816"/>
      <c r="AK93" s="816"/>
      <c r="AL93" s="820"/>
    </row>
    <row r="94" spans="2:46">
      <c r="B94" s="339" t="s">
        <v>201</v>
      </c>
      <c r="C94" s="340" t="s">
        <v>200</v>
      </c>
      <c r="D94" s="198">
        <v>1</v>
      </c>
      <c r="E94" s="195" t="s">
        <v>515</v>
      </c>
      <c r="F94" s="195" t="s">
        <v>516</v>
      </c>
      <c r="G94" s="333" t="s">
        <v>108</v>
      </c>
      <c r="H94" s="333" t="s">
        <v>108</v>
      </c>
      <c r="I94" s="333" t="s">
        <v>108</v>
      </c>
      <c r="J94" s="333" t="s">
        <v>108</v>
      </c>
      <c r="K94" s="333" t="s">
        <v>108</v>
      </c>
      <c r="L94" s="331" t="s">
        <v>117</v>
      </c>
      <c r="M94" s="331" t="s">
        <v>117</v>
      </c>
      <c r="N94" s="426">
        <v>60</v>
      </c>
      <c r="O94" s="333" t="s">
        <v>108</v>
      </c>
      <c r="P94" s="333" t="s">
        <v>108</v>
      </c>
      <c r="Q94" s="333" t="s">
        <v>108</v>
      </c>
      <c r="R94" s="333" t="s">
        <v>108</v>
      </c>
      <c r="S94" s="333" t="s">
        <v>108</v>
      </c>
      <c r="T94" s="331" t="s">
        <v>117</v>
      </c>
      <c r="U94" s="331" t="s">
        <v>117</v>
      </c>
      <c r="V94" s="426">
        <v>72</v>
      </c>
      <c r="W94" s="333" t="s">
        <v>108</v>
      </c>
      <c r="X94" s="333" t="s">
        <v>108</v>
      </c>
      <c r="Y94" s="333" t="s">
        <v>108</v>
      </c>
      <c r="Z94" s="333" t="s">
        <v>108</v>
      </c>
      <c r="AA94" s="333" t="s">
        <v>108</v>
      </c>
      <c r="AB94" s="331" t="s">
        <v>117</v>
      </c>
      <c r="AC94" s="331" t="s">
        <v>117</v>
      </c>
      <c r="AD94" s="426">
        <v>72</v>
      </c>
      <c r="AE94" s="333" t="s">
        <v>108</v>
      </c>
      <c r="AF94" s="333" t="s">
        <v>108</v>
      </c>
      <c r="AG94" s="333" t="s">
        <v>108</v>
      </c>
      <c r="AH94" s="333" t="s">
        <v>108</v>
      </c>
      <c r="AI94" s="333" t="s">
        <v>108</v>
      </c>
      <c r="AJ94" s="331" t="s">
        <v>117</v>
      </c>
      <c r="AK94" s="331" t="s">
        <v>117</v>
      </c>
      <c r="AL94" s="426">
        <v>72</v>
      </c>
    </row>
    <row r="95" spans="2:46">
      <c r="N95" s="132"/>
    </row>
    <row r="96" spans="2:46" ht="15" customHeight="1">
      <c r="B96" s="676" t="s">
        <v>126</v>
      </c>
      <c r="C96" s="676" t="s">
        <v>127</v>
      </c>
      <c r="D96" s="378" t="s">
        <v>101</v>
      </c>
      <c r="E96" s="196" t="s">
        <v>891</v>
      </c>
      <c r="F96" s="378" t="s">
        <v>102</v>
      </c>
      <c r="G96" s="483" t="s">
        <v>103</v>
      </c>
      <c r="H96" s="483" t="s">
        <v>104</v>
      </c>
      <c r="I96" s="483" t="s">
        <v>104</v>
      </c>
      <c r="J96" s="483" t="s">
        <v>105</v>
      </c>
      <c r="K96" s="483" t="s">
        <v>106</v>
      </c>
      <c r="L96" s="483" t="s">
        <v>107</v>
      </c>
      <c r="M96" s="483" t="s">
        <v>108</v>
      </c>
      <c r="N96" s="820" t="s">
        <v>109</v>
      </c>
      <c r="O96" s="484" t="s">
        <v>103</v>
      </c>
      <c r="P96" s="484" t="s">
        <v>104</v>
      </c>
      <c r="Q96" s="484" t="s">
        <v>104</v>
      </c>
      <c r="R96" s="484" t="s">
        <v>105</v>
      </c>
      <c r="S96" s="484" t="s">
        <v>106</v>
      </c>
      <c r="T96" s="484" t="s">
        <v>107</v>
      </c>
      <c r="U96" s="484" t="s">
        <v>108</v>
      </c>
      <c r="V96" s="820" t="s">
        <v>109</v>
      </c>
      <c r="W96" s="485" t="s">
        <v>103</v>
      </c>
      <c r="X96" s="485" t="s">
        <v>104</v>
      </c>
      <c r="Y96" s="485" t="s">
        <v>104</v>
      </c>
      <c r="Z96" s="485" t="s">
        <v>105</v>
      </c>
      <c r="AA96" s="485" t="s">
        <v>106</v>
      </c>
      <c r="AB96" s="485" t="s">
        <v>107</v>
      </c>
      <c r="AC96" s="485" t="s">
        <v>108</v>
      </c>
      <c r="AD96" s="820" t="s">
        <v>109</v>
      </c>
      <c r="AE96" s="486" t="s">
        <v>103</v>
      </c>
      <c r="AF96" s="486" t="s">
        <v>104</v>
      </c>
      <c r="AG96" s="486" t="s">
        <v>104</v>
      </c>
      <c r="AH96" s="487" t="s">
        <v>105</v>
      </c>
      <c r="AI96" s="487" t="s">
        <v>106</v>
      </c>
      <c r="AJ96" s="487" t="s">
        <v>107</v>
      </c>
      <c r="AK96" s="487" t="s">
        <v>108</v>
      </c>
      <c r="AL96" s="820" t="s">
        <v>109</v>
      </c>
      <c r="AM96" s="227" t="s">
        <v>103</v>
      </c>
      <c r="AN96" s="227" t="s">
        <v>104</v>
      </c>
      <c r="AO96" s="227" t="s">
        <v>104</v>
      </c>
      <c r="AP96" s="228" t="s">
        <v>105</v>
      </c>
      <c r="AQ96" s="228" t="s">
        <v>106</v>
      </c>
      <c r="AR96" s="228" t="s">
        <v>107</v>
      </c>
      <c r="AS96" s="228" t="s">
        <v>108</v>
      </c>
      <c r="AT96" s="834" t="s">
        <v>109</v>
      </c>
    </row>
    <row r="97" spans="2:46">
      <c r="B97" s="676"/>
      <c r="C97" s="676"/>
      <c r="D97" s="378" t="s">
        <v>112</v>
      </c>
      <c r="E97" s="196" t="s">
        <v>444</v>
      </c>
      <c r="F97" s="378" t="s">
        <v>113</v>
      </c>
      <c r="G97" s="816">
        <v>7</v>
      </c>
      <c r="H97" s="816">
        <v>8</v>
      </c>
      <c r="I97" s="816">
        <v>9</v>
      </c>
      <c r="J97" s="816">
        <v>10</v>
      </c>
      <c r="K97" s="816">
        <v>11</v>
      </c>
      <c r="L97" s="816">
        <v>12</v>
      </c>
      <c r="M97" s="816">
        <v>13</v>
      </c>
      <c r="N97" s="820"/>
      <c r="O97" s="816">
        <v>14</v>
      </c>
      <c r="P97" s="816">
        <v>15</v>
      </c>
      <c r="Q97" s="816">
        <v>16</v>
      </c>
      <c r="R97" s="816">
        <v>17</v>
      </c>
      <c r="S97" s="816">
        <v>18</v>
      </c>
      <c r="T97" s="816">
        <v>19</v>
      </c>
      <c r="U97" s="816">
        <v>20</v>
      </c>
      <c r="V97" s="820"/>
      <c r="W97" s="816">
        <v>21</v>
      </c>
      <c r="X97" s="816">
        <v>22</v>
      </c>
      <c r="Y97" s="816">
        <v>23</v>
      </c>
      <c r="Z97" s="816">
        <v>24</v>
      </c>
      <c r="AA97" s="816">
        <v>25</v>
      </c>
      <c r="AB97" s="816">
        <v>26</v>
      </c>
      <c r="AC97" s="816">
        <v>27</v>
      </c>
      <c r="AD97" s="820"/>
      <c r="AE97" s="816">
        <v>28</v>
      </c>
      <c r="AF97" s="816">
        <v>29</v>
      </c>
      <c r="AG97" s="816">
        <v>30</v>
      </c>
      <c r="AH97" s="816">
        <v>1</v>
      </c>
      <c r="AI97" s="816">
        <v>2</v>
      </c>
      <c r="AJ97" s="816">
        <v>3</v>
      </c>
      <c r="AK97" s="816">
        <v>4</v>
      </c>
      <c r="AL97" s="820"/>
      <c r="AM97" s="835">
        <v>31</v>
      </c>
      <c r="AN97" s="835">
        <v>1</v>
      </c>
      <c r="AO97" s="835">
        <v>2</v>
      </c>
      <c r="AP97" s="835">
        <v>3</v>
      </c>
      <c r="AQ97" s="835">
        <v>4</v>
      </c>
      <c r="AR97" s="835">
        <v>5</v>
      </c>
      <c r="AS97" s="835">
        <v>6</v>
      </c>
      <c r="AT97" s="834"/>
    </row>
    <row r="98" spans="2:46">
      <c r="B98" s="676"/>
      <c r="C98" s="676"/>
      <c r="D98" s="379" t="s">
        <v>42</v>
      </c>
      <c r="E98" s="380" t="s">
        <v>114</v>
      </c>
      <c r="F98" s="380" t="s">
        <v>115</v>
      </c>
      <c r="G98" s="816"/>
      <c r="H98" s="816"/>
      <c r="I98" s="816"/>
      <c r="J98" s="816"/>
      <c r="K98" s="816"/>
      <c r="L98" s="816"/>
      <c r="M98" s="816"/>
      <c r="N98" s="820"/>
      <c r="O98" s="816"/>
      <c r="P98" s="816"/>
      <c r="Q98" s="816"/>
      <c r="R98" s="816"/>
      <c r="S98" s="816"/>
      <c r="T98" s="816"/>
      <c r="U98" s="816"/>
      <c r="V98" s="820"/>
      <c r="W98" s="816"/>
      <c r="X98" s="816"/>
      <c r="Y98" s="816"/>
      <c r="Z98" s="816"/>
      <c r="AA98" s="816"/>
      <c r="AB98" s="816"/>
      <c r="AC98" s="816"/>
      <c r="AD98" s="820"/>
      <c r="AE98" s="816"/>
      <c r="AF98" s="816"/>
      <c r="AG98" s="816"/>
      <c r="AH98" s="816"/>
      <c r="AI98" s="816"/>
      <c r="AJ98" s="816"/>
      <c r="AK98" s="816"/>
      <c r="AL98" s="820"/>
      <c r="AM98" s="835"/>
      <c r="AN98" s="835"/>
      <c r="AO98" s="835"/>
      <c r="AP98" s="835"/>
      <c r="AQ98" s="835"/>
      <c r="AR98" s="835"/>
      <c r="AS98" s="835"/>
      <c r="AT98" s="834"/>
    </row>
    <row r="99" spans="2:46">
      <c r="B99" s="339"/>
      <c r="C99" s="340"/>
      <c r="D99" s="381">
        <v>1</v>
      </c>
      <c r="E99" s="634" t="s">
        <v>892</v>
      </c>
      <c r="F99" s="634" t="s">
        <v>893</v>
      </c>
      <c r="G99" s="317" t="s">
        <v>116</v>
      </c>
      <c r="H99" s="317" t="s">
        <v>116</v>
      </c>
      <c r="I99" s="136" t="s">
        <v>117</v>
      </c>
      <c r="J99" s="136" t="s">
        <v>117</v>
      </c>
      <c r="K99" s="317" t="s">
        <v>108</v>
      </c>
      <c r="L99" s="317" t="s">
        <v>108</v>
      </c>
      <c r="M99" s="317" t="s">
        <v>108</v>
      </c>
      <c r="N99" s="387">
        <v>60</v>
      </c>
      <c r="O99" s="317" t="s">
        <v>116</v>
      </c>
      <c r="P99" s="317" t="s">
        <v>116</v>
      </c>
      <c r="Q99" s="136" t="s">
        <v>117</v>
      </c>
      <c r="R99" s="136" t="s">
        <v>117</v>
      </c>
      <c r="S99" s="317" t="s">
        <v>108</v>
      </c>
      <c r="T99" s="317" t="s">
        <v>108</v>
      </c>
      <c r="U99" s="317" t="s">
        <v>108</v>
      </c>
      <c r="V99" s="387">
        <v>60</v>
      </c>
      <c r="W99" s="317" t="s">
        <v>116</v>
      </c>
      <c r="X99" s="317" t="s">
        <v>116</v>
      </c>
      <c r="Y99" s="136" t="s">
        <v>117</v>
      </c>
      <c r="Z99" s="136" t="s">
        <v>117</v>
      </c>
      <c r="AA99" s="317" t="s">
        <v>108</v>
      </c>
      <c r="AB99" s="317" t="s">
        <v>108</v>
      </c>
      <c r="AC99" s="317" t="s">
        <v>108</v>
      </c>
      <c r="AD99" s="387">
        <v>60</v>
      </c>
      <c r="AE99" s="317" t="s">
        <v>116</v>
      </c>
      <c r="AF99" s="317" t="s">
        <v>116</v>
      </c>
      <c r="AG99" s="136" t="s">
        <v>117</v>
      </c>
      <c r="AH99" s="136" t="s">
        <v>117</v>
      </c>
      <c r="AI99" s="317" t="s">
        <v>108</v>
      </c>
      <c r="AJ99" s="317" t="s">
        <v>108</v>
      </c>
      <c r="AK99" s="317" t="s">
        <v>108</v>
      </c>
      <c r="AL99" s="387">
        <v>60</v>
      </c>
      <c r="AM99" s="317" t="s">
        <v>116</v>
      </c>
      <c r="AN99" s="317" t="s">
        <v>116</v>
      </c>
      <c r="AO99" s="136" t="s">
        <v>117</v>
      </c>
      <c r="AP99" s="136" t="s">
        <v>117</v>
      </c>
      <c r="AQ99" s="317" t="s">
        <v>108</v>
      </c>
      <c r="AR99" s="317" t="s">
        <v>108</v>
      </c>
      <c r="AS99" s="317" t="s">
        <v>108</v>
      </c>
      <c r="AT99" s="387">
        <v>60</v>
      </c>
    </row>
  </sheetData>
  <mergeCells count="370">
    <mergeCell ref="AQ97:AQ98"/>
    <mergeCell ref="AR97:AR98"/>
    <mergeCell ref="AS97:AS98"/>
    <mergeCell ref="B96:B98"/>
    <mergeCell ref="C96:C98"/>
    <mergeCell ref="AB97:AB98"/>
    <mergeCell ref="AC97:AC98"/>
    <mergeCell ref="AE97:AE98"/>
    <mergeCell ref="AF97:AF98"/>
    <mergeCell ref="AG97:AG98"/>
    <mergeCell ref="AH97:AH98"/>
    <mergeCell ref="AI97:AI98"/>
    <mergeCell ref="AJ97:AJ98"/>
    <mergeCell ref="AK97:AK98"/>
    <mergeCell ref="N96:N98"/>
    <mergeCell ref="V96:V98"/>
    <mergeCell ref="AD96:AD98"/>
    <mergeCell ref="AL96:AL98"/>
    <mergeCell ref="AT96:AT98"/>
    <mergeCell ref="G97:G98"/>
    <mergeCell ref="H97:H98"/>
    <mergeCell ref="I97:I98"/>
    <mergeCell ref="J97:J98"/>
    <mergeCell ref="K97:K98"/>
    <mergeCell ref="L97:L98"/>
    <mergeCell ref="M97:M98"/>
    <mergeCell ref="O97:O98"/>
    <mergeCell ref="P97:P98"/>
    <mergeCell ref="Q97:Q98"/>
    <mergeCell ref="R97:R98"/>
    <mergeCell ref="S97:S98"/>
    <mergeCell ref="T97:T98"/>
    <mergeCell ref="U97:U98"/>
    <mergeCell ref="W97:W98"/>
    <mergeCell ref="X97:X98"/>
    <mergeCell ref="Y97:Y98"/>
    <mergeCell ref="Z97:Z98"/>
    <mergeCell ref="AA97:AA98"/>
    <mergeCell ref="AM97:AM98"/>
    <mergeCell ref="AN97:AN98"/>
    <mergeCell ref="AO97:AO98"/>
    <mergeCell ref="AP97:AP98"/>
    <mergeCell ref="AL52:AL54"/>
    <mergeCell ref="G53:G54"/>
    <mergeCell ref="H53:H54"/>
    <mergeCell ref="I53:I54"/>
    <mergeCell ref="J53:J54"/>
    <mergeCell ref="K53:K54"/>
    <mergeCell ref="L53:L54"/>
    <mergeCell ref="M53:M54"/>
    <mergeCell ref="O53:O54"/>
    <mergeCell ref="P53:P54"/>
    <mergeCell ref="N52:N54"/>
    <mergeCell ref="V52:V54"/>
    <mergeCell ref="AD52:AD54"/>
    <mergeCell ref="AK53:AK54"/>
    <mergeCell ref="AE53:AE54"/>
    <mergeCell ref="AF53:AF54"/>
    <mergeCell ref="AG53:AG54"/>
    <mergeCell ref="AH53:AH54"/>
    <mergeCell ref="AI53:AI54"/>
    <mergeCell ref="AJ53:AJ54"/>
    <mergeCell ref="G45:G46"/>
    <mergeCell ref="H45:H46"/>
    <mergeCell ref="I45:I46"/>
    <mergeCell ref="J45:J46"/>
    <mergeCell ref="K45:K46"/>
    <mergeCell ref="S53:S54"/>
    <mergeCell ref="T53:T54"/>
    <mergeCell ref="U53:U54"/>
    <mergeCell ref="W53:W54"/>
    <mergeCell ref="AD44:AD46"/>
    <mergeCell ref="X53:X54"/>
    <mergeCell ref="Y53:Y54"/>
    <mergeCell ref="Z53:Z54"/>
    <mergeCell ref="AA53:AA54"/>
    <mergeCell ref="AB53:AB54"/>
    <mergeCell ref="AC53:AC54"/>
    <mergeCell ref="Q53:Q54"/>
    <mergeCell ref="R53:R54"/>
    <mergeCell ref="T9:T10"/>
    <mergeCell ref="U9:U10"/>
    <mergeCell ref="W9:W10"/>
    <mergeCell ref="X9:X10"/>
    <mergeCell ref="Y9:Y10"/>
    <mergeCell ref="Z9:Z10"/>
    <mergeCell ref="P45:P46"/>
    <mergeCell ref="L45:L46"/>
    <mergeCell ref="M45:M46"/>
    <mergeCell ref="O45:O46"/>
    <mergeCell ref="N44:N46"/>
    <mergeCell ref="V44:V46"/>
    <mergeCell ref="U45:U46"/>
    <mergeCell ref="W45:W46"/>
    <mergeCell ref="X45:X46"/>
    <mergeCell ref="Y45:Y46"/>
    <mergeCell ref="Z45:Z46"/>
    <mergeCell ref="AK9:AK10"/>
    <mergeCell ref="AA9:AA10"/>
    <mergeCell ref="AB9:AB10"/>
    <mergeCell ref="AC9:AC10"/>
    <mergeCell ref="AE9:AE10"/>
    <mergeCell ref="AF9:AF10"/>
    <mergeCell ref="AG9:AG10"/>
    <mergeCell ref="AH9:AH10"/>
    <mergeCell ref="AD8:AD10"/>
    <mergeCell ref="AL74:AL76"/>
    <mergeCell ref="AL79:AL81"/>
    <mergeCell ref="AL84:AL86"/>
    <mergeCell ref="AL8:AL10"/>
    <mergeCell ref="B69:B71"/>
    <mergeCell ref="C69:C71"/>
    <mergeCell ref="C29:C30"/>
    <mergeCell ref="G65:G66"/>
    <mergeCell ref="H65:H66"/>
    <mergeCell ref="I65:I66"/>
    <mergeCell ref="J65:J66"/>
    <mergeCell ref="K65:K66"/>
    <mergeCell ref="L65:L66"/>
    <mergeCell ref="M65:M66"/>
    <mergeCell ref="O65:O66"/>
    <mergeCell ref="P65:P66"/>
    <mergeCell ref="Q65:Q66"/>
    <mergeCell ref="R65:R66"/>
    <mergeCell ref="S65:S66"/>
    <mergeCell ref="T65:T66"/>
    <mergeCell ref="U65:U66"/>
    <mergeCell ref="W65:W66"/>
    <mergeCell ref="AI9:AI10"/>
    <mergeCell ref="AJ9:AJ10"/>
    <mergeCell ref="Z65:Z66"/>
    <mergeCell ref="B55:B62"/>
    <mergeCell ref="B28:B31"/>
    <mergeCell ref="B64:B66"/>
    <mergeCell ref="C64:C66"/>
    <mergeCell ref="N64:N66"/>
    <mergeCell ref="V64:V66"/>
    <mergeCell ref="AL64:AL66"/>
    <mergeCell ref="AL69:AL71"/>
    <mergeCell ref="AL44:AL46"/>
    <mergeCell ref="Q45:Q46"/>
    <mergeCell ref="R45:R46"/>
    <mergeCell ref="S45:S46"/>
    <mergeCell ref="T45:T46"/>
    <mergeCell ref="AI45:AI46"/>
    <mergeCell ref="AJ45:AJ46"/>
    <mergeCell ref="AK45:AK46"/>
    <mergeCell ref="AB45:AB46"/>
    <mergeCell ref="AC45:AC46"/>
    <mergeCell ref="AE45:AE46"/>
    <mergeCell ref="AF45:AF46"/>
    <mergeCell ref="AG45:AG46"/>
    <mergeCell ref="AH45:AH46"/>
    <mergeCell ref="AA45:AA46"/>
    <mergeCell ref="AD64:AD66"/>
    <mergeCell ref="AC65:AC66"/>
    <mergeCell ref="B47:B49"/>
    <mergeCell ref="B44:B46"/>
    <mergeCell ref="C44:C46"/>
    <mergeCell ref="B52:B54"/>
    <mergeCell ref="C52:C54"/>
    <mergeCell ref="C58:C62"/>
    <mergeCell ref="B79:B81"/>
    <mergeCell ref="C79:C81"/>
    <mergeCell ref="Z80:Z81"/>
    <mergeCell ref="AA80:AA81"/>
    <mergeCell ref="AB70:AB71"/>
    <mergeCell ref="B74:B76"/>
    <mergeCell ref="C74:C76"/>
    <mergeCell ref="Z75:Z76"/>
    <mergeCell ref="AA75:AA76"/>
    <mergeCell ref="AB75:AB76"/>
    <mergeCell ref="Z70:Z71"/>
    <mergeCell ref="AA70:AA71"/>
    <mergeCell ref="AC80:AC81"/>
    <mergeCell ref="Y80:Y81"/>
    <mergeCell ref="AB80:AB81"/>
    <mergeCell ref="G75:G76"/>
    <mergeCell ref="Q80:Q81"/>
    <mergeCell ref="R80:R81"/>
    <mergeCell ref="S80:S81"/>
    <mergeCell ref="T80:T81"/>
    <mergeCell ref="N79:N81"/>
    <mergeCell ref="V79:V81"/>
    <mergeCell ref="AD79:AD81"/>
    <mergeCell ref="U80:U81"/>
    <mergeCell ref="W80:W81"/>
    <mergeCell ref="X80:X81"/>
    <mergeCell ref="G80:G81"/>
    <mergeCell ref="H80:H81"/>
    <mergeCell ref="I80:I81"/>
    <mergeCell ref="J80:J81"/>
    <mergeCell ref="K80:K81"/>
    <mergeCell ref="L80:L81"/>
    <mergeCell ref="M80:M81"/>
    <mergeCell ref="O80:O81"/>
    <mergeCell ref="P80:P81"/>
    <mergeCell ref="AK80:AK81"/>
    <mergeCell ref="AF80:AF81"/>
    <mergeCell ref="AG80:AG81"/>
    <mergeCell ref="AH80:AH81"/>
    <mergeCell ref="AI80:AI81"/>
    <mergeCell ref="AJ80:AJ81"/>
    <mergeCell ref="AC75:AC76"/>
    <mergeCell ref="AE75:AE76"/>
    <mergeCell ref="AI75:AI76"/>
    <mergeCell ref="AJ75:AJ76"/>
    <mergeCell ref="AE80:AE81"/>
    <mergeCell ref="AK75:AK76"/>
    <mergeCell ref="AF75:AF76"/>
    <mergeCell ref="AG75:AG76"/>
    <mergeCell ref="AH75:AH76"/>
    <mergeCell ref="H75:H76"/>
    <mergeCell ref="I75:I76"/>
    <mergeCell ref="J75:J76"/>
    <mergeCell ref="K75:K76"/>
    <mergeCell ref="L75:L76"/>
    <mergeCell ref="M75:M76"/>
    <mergeCell ref="O75:O76"/>
    <mergeCell ref="P75:P76"/>
    <mergeCell ref="Q75:Q76"/>
    <mergeCell ref="R75:R76"/>
    <mergeCell ref="S75:S76"/>
    <mergeCell ref="T75:T76"/>
    <mergeCell ref="N74:N76"/>
    <mergeCell ref="V74:V76"/>
    <mergeCell ref="AD74:AD76"/>
    <mergeCell ref="U75:U76"/>
    <mergeCell ref="W75:W76"/>
    <mergeCell ref="X75:X76"/>
    <mergeCell ref="Y75:Y76"/>
    <mergeCell ref="G70:G71"/>
    <mergeCell ref="H70:H71"/>
    <mergeCell ref="I70:I71"/>
    <mergeCell ref="J70:J71"/>
    <mergeCell ref="K70:K71"/>
    <mergeCell ref="L70:L71"/>
    <mergeCell ref="M70:M71"/>
    <mergeCell ref="O70:O71"/>
    <mergeCell ref="P70:P71"/>
    <mergeCell ref="Q70:Q71"/>
    <mergeCell ref="R70:R71"/>
    <mergeCell ref="S70:S71"/>
    <mergeCell ref="T70:T71"/>
    <mergeCell ref="N69:N71"/>
    <mergeCell ref="V69:V71"/>
    <mergeCell ref="AD69:AD71"/>
    <mergeCell ref="U70:U71"/>
    <mergeCell ref="W70:W71"/>
    <mergeCell ref="X70:X71"/>
    <mergeCell ref="Y70:Y71"/>
    <mergeCell ref="AC70:AC71"/>
    <mergeCell ref="AJ70:AJ71"/>
    <mergeCell ref="AK70:AK71"/>
    <mergeCell ref="AE65:AE66"/>
    <mergeCell ref="AF65:AF66"/>
    <mergeCell ref="AG65:AG66"/>
    <mergeCell ref="AH65:AH66"/>
    <mergeCell ref="AI65:AI66"/>
    <mergeCell ref="AJ65:AJ66"/>
    <mergeCell ref="AK65:AK66"/>
    <mergeCell ref="AE70:AE71"/>
    <mergeCell ref="AF70:AF71"/>
    <mergeCell ref="AG70:AG71"/>
    <mergeCell ref="AH70:AH71"/>
    <mergeCell ref="AI70:AI71"/>
    <mergeCell ref="AA65:AA66"/>
    <mergeCell ref="AB65:AB66"/>
    <mergeCell ref="C14:C15"/>
    <mergeCell ref="C16:C18"/>
    <mergeCell ref="C19:C20"/>
    <mergeCell ref="C21:C22"/>
    <mergeCell ref="C23:C25"/>
    <mergeCell ref="C26:C27"/>
    <mergeCell ref="N8:N10"/>
    <mergeCell ref="V8:V10"/>
    <mergeCell ref="P9:P10"/>
    <mergeCell ref="Q9:Q10"/>
    <mergeCell ref="R9:R10"/>
    <mergeCell ref="S9:S10"/>
    <mergeCell ref="G9:G10"/>
    <mergeCell ref="H9:H10"/>
    <mergeCell ref="I9:I10"/>
    <mergeCell ref="J9:J10"/>
    <mergeCell ref="K9:K10"/>
    <mergeCell ref="L9:L10"/>
    <mergeCell ref="M9:M10"/>
    <mergeCell ref="O9:O10"/>
    <mergeCell ref="X65:X66"/>
    <mergeCell ref="Y65:Y66"/>
    <mergeCell ref="G85:G86"/>
    <mergeCell ref="H85:H86"/>
    <mergeCell ref="I85:I86"/>
    <mergeCell ref="J85:J86"/>
    <mergeCell ref="K85:K86"/>
    <mergeCell ref="L85:L86"/>
    <mergeCell ref="M85:M86"/>
    <mergeCell ref="O85:O86"/>
    <mergeCell ref="P85:P86"/>
    <mergeCell ref="Q85:Q86"/>
    <mergeCell ref="R85:R86"/>
    <mergeCell ref="S85:S86"/>
    <mergeCell ref="T85:T86"/>
    <mergeCell ref="U85:U86"/>
    <mergeCell ref="W85:W86"/>
    <mergeCell ref="AH85:AH86"/>
    <mergeCell ref="AI85:AI86"/>
    <mergeCell ref="AJ85:AJ86"/>
    <mergeCell ref="AK85:AK86"/>
    <mergeCell ref="AG85:AG86"/>
    <mergeCell ref="AE85:AE86"/>
    <mergeCell ref="AF85:AF86"/>
    <mergeCell ref="X2:AI4"/>
    <mergeCell ref="AD84:AD86"/>
    <mergeCell ref="C87:C89"/>
    <mergeCell ref="B87:B89"/>
    <mergeCell ref="X85:X86"/>
    <mergeCell ref="Y85:Y86"/>
    <mergeCell ref="Z85:Z86"/>
    <mergeCell ref="AA85:AA86"/>
    <mergeCell ref="AB85:AB86"/>
    <mergeCell ref="AC85:AC86"/>
    <mergeCell ref="B84:B86"/>
    <mergeCell ref="C84:C86"/>
    <mergeCell ref="N84:N86"/>
    <mergeCell ref="V84:V86"/>
    <mergeCell ref="B8:B10"/>
    <mergeCell ref="C8:C10"/>
    <mergeCell ref="B2:D4"/>
    <mergeCell ref="E2:P4"/>
    <mergeCell ref="B11:B27"/>
    <mergeCell ref="C11:C13"/>
    <mergeCell ref="B5:AL6"/>
    <mergeCell ref="Q2:W2"/>
    <mergeCell ref="Q3:W3"/>
    <mergeCell ref="Q4:W4"/>
    <mergeCell ref="B91:B93"/>
    <mergeCell ref="C91:C93"/>
    <mergeCell ref="N91:N93"/>
    <mergeCell ref="V91:V93"/>
    <mergeCell ref="AD91:AD93"/>
    <mergeCell ref="AL91:AL93"/>
    <mergeCell ref="G92:G93"/>
    <mergeCell ref="H92:H93"/>
    <mergeCell ref="I92:I93"/>
    <mergeCell ref="J92:J93"/>
    <mergeCell ref="K92:K93"/>
    <mergeCell ref="L92:L93"/>
    <mergeCell ref="M92:M93"/>
    <mergeCell ref="O92:O93"/>
    <mergeCell ref="P92:P93"/>
    <mergeCell ref="Q92:Q93"/>
    <mergeCell ref="R92:R93"/>
    <mergeCell ref="S92:S93"/>
    <mergeCell ref="T92:T93"/>
    <mergeCell ref="U92:U93"/>
    <mergeCell ref="AG92:AG93"/>
    <mergeCell ref="AH92:AH93"/>
    <mergeCell ref="AI92:AI93"/>
    <mergeCell ref="AJ92:AJ93"/>
    <mergeCell ref="AK92:AK93"/>
    <mergeCell ref="W92:W93"/>
    <mergeCell ref="X92:X93"/>
    <mergeCell ref="Y92:Y93"/>
    <mergeCell ref="Z92:Z93"/>
    <mergeCell ref="AA92:AA93"/>
    <mergeCell ref="AB92:AB93"/>
    <mergeCell ref="AC92:AC93"/>
    <mergeCell ref="AE92:AE93"/>
    <mergeCell ref="AF92:AF93"/>
  </mergeCells>
  <phoneticPr fontId="36" type="noConversion"/>
  <conditionalFormatting sqref="G15">
    <cfRule type="containsText" dxfId="24" priority="21" operator="containsText" text="X">
      <formula>NOT(ISERROR(SEARCH("X",G15)))</formula>
    </cfRule>
  </conditionalFormatting>
  <conditionalFormatting sqref="G29">
    <cfRule type="containsText" dxfId="23" priority="20" operator="containsText" text="X">
      <formula>NOT(ISERROR(SEARCH("X",G29)))</formula>
    </cfRule>
  </conditionalFormatting>
  <conditionalFormatting sqref="G67">
    <cfRule type="containsText" dxfId="22" priority="1" operator="containsText" text="X">
      <formula>NOT(ISERROR(SEARCH("X",G67)))</formula>
    </cfRule>
  </conditionalFormatting>
  <conditionalFormatting sqref="I48 L48">
    <cfRule type="containsText" dxfId="21" priority="6" operator="containsText" text="X">
      <formula>NOT(ISERROR(SEARCH("X",I48)))</formula>
    </cfRule>
  </conditionalFormatting>
  <conditionalFormatting sqref="O15">
    <cfRule type="containsText" dxfId="20" priority="19" operator="containsText" text="X">
      <formula>NOT(ISERROR(SEARCH("X",O15)))</formula>
    </cfRule>
  </conditionalFormatting>
  <conditionalFormatting sqref="O29">
    <cfRule type="containsText" dxfId="19" priority="18" operator="containsText" text="X">
      <formula>NOT(ISERROR(SEARCH("X",O29)))</formula>
    </cfRule>
  </conditionalFormatting>
  <conditionalFormatting sqref="O67">
    <cfRule type="containsText" dxfId="18" priority="25" operator="containsText" text="X">
      <formula>NOT(ISERROR(SEARCH("X",O67)))</formula>
    </cfRule>
  </conditionalFormatting>
  <conditionalFormatting sqref="T48">
    <cfRule type="containsText" dxfId="17" priority="5" operator="containsText" text="X">
      <formula>NOT(ISERROR(SEARCH("X",T48)))</formula>
    </cfRule>
  </conditionalFormatting>
  <conditionalFormatting sqref="W15">
    <cfRule type="containsText" dxfId="16" priority="17" operator="containsText" text="X">
      <formula>NOT(ISERROR(SEARCH("X",W15)))</formula>
    </cfRule>
  </conditionalFormatting>
  <conditionalFormatting sqref="W29">
    <cfRule type="containsText" dxfId="15" priority="16" operator="containsText" text="X">
      <formula>NOT(ISERROR(SEARCH("X",W29)))</formula>
    </cfRule>
  </conditionalFormatting>
  <conditionalFormatting sqref="Y48">
    <cfRule type="containsText" dxfId="14" priority="4" operator="containsText" text="X">
      <formula>NOT(ISERROR(SEARCH("X",Y48)))</formula>
    </cfRule>
  </conditionalFormatting>
  <conditionalFormatting sqref="AE15">
    <cfRule type="containsText" dxfId="13" priority="15" operator="containsText" text="X">
      <formula>NOT(ISERROR(SEARCH("X",AE15)))</formula>
    </cfRule>
  </conditionalFormatting>
  <conditionalFormatting sqref="AE29">
    <cfRule type="containsText" dxfId="12" priority="14" operator="containsText" text="X">
      <formula>NOT(ISERROR(SEARCH("X",AE29)))</formula>
    </cfRule>
  </conditionalFormatting>
  <conditionalFormatting sqref="AH47:AI47 AF48 AJ48 AH49">
    <cfRule type="containsText" dxfId="11" priority="3" operator="containsText" text="X">
      <formula>NOT(ISERROR(SEARCH("X",AF47)))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ABD2F-7324-42B0-BE06-0EE5A847DB1E}">
  <sheetPr>
    <tabColor theme="7" tint="0.39997558519241921"/>
  </sheetPr>
  <dimension ref="B1:AX137"/>
  <sheetViews>
    <sheetView tabSelected="1" zoomScale="85" zoomScaleNormal="85" workbookViewId="0">
      <pane ySplit="6" topLeftCell="A96" activePane="bottomLeft" state="frozen"/>
      <selection pane="bottomLeft" activeCell="L107" sqref="L107"/>
    </sheetView>
  </sheetViews>
  <sheetFormatPr baseColWidth="10" defaultColWidth="11" defaultRowHeight="15"/>
  <cols>
    <col min="1" max="1" width="3.42578125" style="132" customWidth="1"/>
    <col min="2" max="2" width="23.42578125" style="132" bestFit="1" customWidth="1"/>
    <col min="3" max="3" width="27.5703125" style="132" bestFit="1" customWidth="1"/>
    <col min="4" max="4" width="17.140625" style="132" bestFit="1" customWidth="1"/>
    <col min="5" max="6" width="25" style="132" bestFit="1" customWidth="1"/>
    <col min="7" max="9" width="3" style="132" bestFit="1" customWidth="1"/>
    <col min="10" max="13" width="3.42578125" style="132" bestFit="1" customWidth="1"/>
    <col min="14" max="14" width="4.7109375" style="353" customWidth="1"/>
    <col min="15" max="21" width="3.42578125" style="132" bestFit="1" customWidth="1"/>
    <col min="22" max="22" width="4.7109375" style="353" customWidth="1"/>
    <col min="23" max="29" width="3.42578125" style="132" bestFit="1" customWidth="1"/>
    <col min="30" max="30" width="4.7109375" style="353" customWidth="1"/>
    <col min="31" max="33" width="3.42578125" style="132" bestFit="1" customWidth="1"/>
    <col min="34" max="36" width="3" style="132" bestFit="1" customWidth="1"/>
    <col min="37" max="37" width="2.7109375" style="132" bestFit="1" customWidth="1"/>
    <col min="38" max="38" width="4.28515625" style="353" customWidth="1"/>
    <col min="39" max="39" width="5.5703125" style="132" customWidth="1"/>
    <col min="40" max="45" width="3.42578125" style="132" customWidth="1"/>
    <col min="46" max="46" width="4.5703125" style="353" customWidth="1"/>
    <col min="47" max="47" width="4.7109375" style="500" customWidth="1"/>
    <col min="48" max="48" width="3.42578125" style="353" customWidth="1"/>
    <col min="49" max="16384" width="11" style="132"/>
  </cols>
  <sheetData>
    <row r="1" spans="2:48" ht="15.75" thickBot="1">
      <c r="AL1" s="132"/>
    </row>
    <row r="2" spans="2:48" ht="15" customHeight="1" thickBot="1">
      <c r="B2" s="664" t="e" vm="6">
        <v>#VALUE!</v>
      </c>
      <c r="C2" s="665"/>
      <c r="D2" s="666"/>
      <c r="E2" s="667" t="s">
        <v>97</v>
      </c>
      <c r="F2" s="668"/>
      <c r="G2" s="668"/>
      <c r="H2" s="668"/>
      <c r="I2" s="668"/>
      <c r="J2" s="668"/>
      <c r="K2" s="668"/>
      <c r="L2" s="668"/>
      <c r="M2" s="668"/>
      <c r="N2" s="668"/>
      <c r="O2" s="668"/>
      <c r="P2" s="823"/>
      <c r="Q2" s="817" t="s">
        <v>98</v>
      </c>
      <c r="R2" s="818"/>
      <c r="S2" s="818"/>
      <c r="T2" s="818"/>
      <c r="U2" s="818"/>
      <c r="V2" s="818"/>
      <c r="W2" s="819"/>
      <c r="X2" s="664" t="e" vm="7">
        <v>#VALUE!</v>
      </c>
      <c r="Y2" s="665"/>
      <c r="Z2" s="665"/>
      <c r="AA2" s="665"/>
      <c r="AB2" s="665"/>
      <c r="AC2" s="665"/>
      <c r="AD2" s="665"/>
      <c r="AE2" s="665"/>
      <c r="AF2" s="665"/>
      <c r="AG2" s="665"/>
      <c r="AH2" s="665"/>
      <c r="AI2" s="666"/>
      <c r="AL2" s="132"/>
    </row>
    <row r="3" spans="2:48" ht="15" customHeight="1" thickBot="1">
      <c r="B3" s="649"/>
      <c r="C3" s="650"/>
      <c r="D3" s="651"/>
      <c r="E3" s="669"/>
      <c r="F3" s="670"/>
      <c r="G3" s="670"/>
      <c r="H3" s="670"/>
      <c r="I3" s="670"/>
      <c r="J3" s="670"/>
      <c r="K3" s="670"/>
      <c r="L3" s="670"/>
      <c r="M3" s="670"/>
      <c r="N3" s="670"/>
      <c r="O3" s="670"/>
      <c r="P3" s="824"/>
      <c r="Q3" s="817" t="s">
        <v>99</v>
      </c>
      <c r="R3" s="818"/>
      <c r="S3" s="818"/>
      <c r="T3" s="818"/>
      <c r="U3" s="818"/>
      <c r="V3" s="818"/>
      <c r="W3" s="819"/>
      <c r="X3" s="649"/>
      <c r="Y3" s="650"/>
      <c r="Z3" s="650"/>
      <c r="AA3" s="650"/>
      <c r="AB3" s="650"/>
      <c r="AC3" s="650"/>
      <c r="AD3" s="650"/>
      <c r="AE3" s="650"/>
      <c r="AF3" s="650"/>
      <c r="AG3" s="650"/>
      <c r="AH3" s="650"/>
      <c r="AI3" s="651"/>
      <c r="AL3" s="132"/>
    </row>
    <row r="4" spans="2:48" ht="15.75" customHeight="1" thickBot="1">
      <c r="B4" s="649"/>
      <c r="C4" s="650"/>
      <c r="D4" s="651"/>
      <c r="E4" s="669"/>
      <c r="F4" s="670"/>
      <c r="G4" s="670"/>
      <c r="H4" s="670"/>
      <c r="I4" s="670"/>
      <c r="J4" s="670"/>
      <c r="K4" s="670"/>
      <c r="L4" s="670"/>
      <c r="M4" s="670"/>
      <c r="N4" s="670"/>
      <c r="O4" s="670"/>
      <c r="P4" s="824"/>
      <c r="Q4" s="646" t="s">
        <v>100</v>
      </c>
      <c r="R4" s="647"/>
      <c r="S4" s="647"/>
      <c r="T4" s="647"/>
      <c r="U4" s="647"/>
      <c r="V4" s="647"/>
      <c r="W4" s="648"/>
      <c r="X4" s="649"/>
      <c r="Y4" s="650"/>
      <c r="Z4" s="650"/>
      <c r="AA4" s="650"/>
      <c r="AB4" s="650"/>
      <c r="AC4" s="650"/>
      <c r="AD4" s="650"/>
      <c r="AE4" s="650"/>
      <c r="AF4" s="650"/>
      <c r="AG4" s="650"/>
      <c r="AH4" s="650"/>
      <c r="AI4" s="651"/>
      <c r="AL4" s="132"/>
    </row>
    <row r="5" spans="2:48" ht="15" customHeight="1">
      <c r="B5" s="658" t="s">
        <v>696</v>
      </c>
      <c r="C5" s="659"/>
      <c r="D5" s="659"/>
      <c r="E5" s="659"/>
      <c r="F5" s="659"/>
      <c r="G5" s="659"/>
      <c r="H5" s="659"/>
      <c r="I5" s="659"/>
      <c r="J5" s="659"/>
      <c r="K5" s="659"/>
      <c r="L5" s="659"/>
      <c r="M5" s="659"/>
      <c r="N5" s="659"/>
      <c r="O5" s="659"/>
      <c r="P5" s="659"/>
      <c r="Q5" s="659"/>
      <c r="R5" s="659"/>
      <c r="S5" s="659"/>
      <c r="T5" s="659"/>
      <c r="U5" s="659"/>
      <c r="V5" s="659"/>
      <c r="W5" s="659"/>
      <c r="X5" s="659"/>
      <c r="Y5" s="659"/>
      <c r="Z5" s="659"/>
      <c r="AA5" s="659"/>
      <c r="AB5" s="659"/>
      <c r="AC5" s="659"/>
      <c r="AD5" s="659"/>
      <c r="AE5" s="659"/>
      <c r="AF5" s="659"/>
      <c r="AG5" s="659"/>
      <c r="AH5" s="659"/>
      <c r="AI5" s="659"/>
      <c r="AJ5" s="659"/>
      <c r="AK5" s="659"/>
      <c r="AL5" s="659"/>
      <c r="AM5" s="659"/>
      <c r="AN5" s="659"/>
      <c r="AO5" s="659"/>
      <c r="AP5" s="659"/>
      <c r="AQ5" s="659"/>
      <c r="AR5" s="659"/>
      <c r="AS5" s="659"/>
      <c r="AT5" s="659"/>
      <c r="AU5" s="659"/>
      <c r="AV5" s="805"/>
    </row>
    <row r="6" spans="2:48" ht="15.75" customHeight="1" thickBot="1">
      <c r="B6" s="660"/>
      <c r="C6" s="661"/>
      <c r="D6" s="661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  <c r="P6" s="661"/>
      <c r="Q6" s="661"/>
      <c r="R6" s="661"/>
      <c r="S6" s="661"/>
      <c r="T6" s="661"/>
      <c r="U6" s="661"/>
      <c r="V6" s="661"/>
      <c r="W6" s="661"/>
      <c r="X6" s="661"/>
      <c r="Y6" s="661"/>
      <c r="Z6" s="661"/>
      <c r="AA6" s="661"/>
      <c r="AB6" s="661"/>
      <c r="AC6" s="661"/>
      <c r="AD6" s="661"/>
      <c r="AE6" s="661"/>
      <c r="AF6" s="661"/>
      <c r="AG6" s="661"/>
      <c r="AH6" s="661"/>
      <c r="AI6" s="661"/>
      <c r="AJ6" s="661"/>
      <c r="AK6" s="661"/>
      <c r="AL6" s="661"/>
      <c r="AM6" s="661"/>
      <c r="AN6" s="661"/>
      <c r="AO6" s="661"/>
      <c r="AP6" s="661"/>
      <c r="AQ6" s="661"/>
      <c r="AR6" s="661"/>
      <c r="AS6" s="661"/>
      <c r="AT6" s="661"/>
      <c r="AU6" s="661"/>
      <c r="AV6" s="806"/>
    </row>
    <row r="7" spans="2:48" ht="15.75" customHeight="1"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  <c r="AK7" s="220"/>
      <c r="AL7" s="220"/>
      <c r="AM7" s="220"/>
      <c r="AN7" s="220"/>
      <c r="AO7" s="220"/>
      <c r="AP7" s="220"/>
      <c r="AQ7" s="220"/>
      <c r="AR7" s="220"/>
      <c r="AS7" s="220"/>
      <c r="AT7" s="220"/>
    </row>
    <row r="8" spans="2:48" ht="15" customHeight="1">
      <c r="B8" s="676" t="s">
        <v>126</v>
      </c>
      <c r="C8" s="676" t="s">
        <v>127</v>
      </c>
      <c r="D8" s="196" t="s">
        <v>101</v>
      </c>
      <c r="E8" s="196" t="s">
        <v>278</v>
      </c>
      <c r="F8" s="196" t="s">
        <v>102</v>
      </c>
      <c r="G8" s="229" t="s">
        <v>103</v>
      </c>
      <c r="H8" s="229" t="s">
        <v>104</v>
      </c>
      <c r="I8" s="229" t="s">
        <v>104</v>
      </c>
      <c r="J8" s="229" t="s">
        <v>105</v>
      </c>
      <c r="K8" s="229" t="s">
        <v>106</v>
      </c>
      <c r="L8" s="229" t="s">
        <v>107</v>
      </c>
      <c r="M8" s="229" t="s">
        <v>108</v>
      </c>
      <c r="N8" s="844" t="s">
        <v>109</v>
      </c>
      <c r="O8" s="230" t="s">
        <v>103</v>
      </c>
      <c r="P8" s="230" t="s">
        <v>104</v>
      </c>
      <c r="Q8" s="230" t="s">
        <v>104</v>
      </c>
      <c r="R8" s="230" t="s">
        <v>105</v>
      </c>
      <c r="S8" s="230" t="s">
        <v>106</v>
      </c>
      <c r="T8" s="230" t="s">
        <v>107</v>
      </c>
      <c r="U8" s="230" t="s">
        <v>108</v>
      </c>
      <c r="V8" s="844" t="s">
        <v>109</v>
      </c>
      <c r="W8" s="231" t="s">
        <v>103</v>
      </c>
      <c r="X8" s="231" t="s">
        <v>104</v>
      </c>
      <c r="Y8" s="231" t="s">
        <v>104</v>
      </c>
      <c r="Z8" s="231" t="s">
        <v>105</v>
      </c>
      <c r="AA8" s="231" t="s">
        <v>106</v>
      </c>
      <c r="AB8" s="231" t="s">
        <v>107</v>
      </c>
      <c r="AC8" s="231" t="s">
        <v>108</v>
      </c>
      <c r="AD8" s="844" t="s">
        <v>109</v>
      </c>
      <c r="AE8" s="227" t="s">
        <v>103</v>
      </c>
      <c r="AF8" s="227" t="s">
        <v>104</v>
      </c>
      <c r="AG8" s="227" t="s">
        <v>104</v>
      </c>
      <c r="AH8" s="228" t="s">
        <v>105</v>
      </c>
      <c r="AI8" s="228" t="s">
        <v>106</v>
      </c>
      <c r="AJ8" s="228" t="s">
        <v>107</v>
      </c>
      <c r="AK8" s="228" t="s">
        <v>108</v>
      </c>
      <c r="AL8" s="644" t="s">
        <v>109</v>
      </c>
      <c r="AM8" s="844" t="s">
        <v>129</v>
      </c>
      <c r="AN8" s="644" t="s">
        <v>111</v>
      </c>
      <c r="AT8" s="132"/>
      <c r="AU8" s="132"/>
      <c r="AV8" s="132"/>
    </row>
    <row r="9" spans="2:48">
      <c r="B9" s="676"/>
      <c r="C9" s="676"/>
      <c r="D9" s="196" t="s">
        <v>112</v>
      </c>
      <c r="E9" s="196" t="s">
        <v>845</v>
      </c>
      <c r="F9" s="196" t="s">
        <v>113</v>
      </c>
      <c r="G9" s="645">
        <v>7</v>
      </c>
      <c r="H9" s="645">
        <v>8</v>
      </c>
      <c r="I9" s="645">
        <v>9</v>
      </c>
      <c r="J9" s="645">
        <v>10</v>
      </c>
      <c r="K9" s="645">
        <v>11</v>
      </c>
      <c r="L9" s="645">
        <v>12</v>
      </c>
      <c r="M9" s="645">
        <v>13</v>
      </c>
      <c r="N9" s="844"/>
      <c r="O9" s="645">
        <v>14</v>
      </c>
      <c r="P9" s="645">
        <v>15</v>
      </c>
      <c r="Q9" s="645">
        <v>16</v>
      </c>
      <c r="R9" s="645">
        <v>17</v>
      </c>
      <c r="S9" s="645">
        <v>18</v>
      </c>
      <c r="T9" s="645">
        <v>19</v>
      </c>
      <c r="U9" s="645">
        <v>20</v>
      </c>
      <c r="V9" s="844"/>
      <c r="W9" s="645">
        <v>21</v>
      </c>
      <c r="X9" s="645">
        <v>22</v>
      </c>
      <c r="Y9" s="645">
        <v>23</v>
      </c>
      <c r="Z9" s="645">
        <v>24</v>
      </c>
      <c r="AA9" s="645">
        <v>25</v>
      </c>
      <c r="AB9" s="645">
        <v>26</v>
      </c>
      <c r="AC9" s="645">
        <v>27</v>
      </c>
      <c r="AD9" s="844"/>
      <c r="AE9" s="645">
        <v>28</v>
      </c>
      <c r="AF9" s="645">
        <v>29</v>
      </c>
      <c r="AG9" s="645">
        <v>30</v>
      </c>
      <c r="AH9" s="645">
        <v>1</v>
      </c>
      <c r="AI9" s="645">
        <v>2</v>
      </c>
      <c r="AJ9" s="645">
        <v>3</v>
      </c>
      <c r="AK9" s="645">
        <v>4</v>
      </c>
      <c r="AL9" s="644"/>
      <c r="AM9" s="844"/>
      <c r="AN9" s="644"/>
      <c r="AT9" s="132"/>
      <c r="AU9" s="132"/>
      <c r="AV9" s="132"/>
    </row>
    <row r="10" spans="2:48">
      <c r="B10" s="676"/>
      <c r="C10" s="676"/>
      <c r="D10" s="325" t="s">
        <v>42</v>
      </c>
      <c r="E10" s="218" t="s">
        <v>114</v>
      </c>
      <c r="F10" s="218" t="s">
        <v>115</v>
      </c>
      <c r="G10" s="645"/>
      <c r="H10" s="645"/>
      <c r="I10" s="645"/>
      <c r="J10" s="645"/>
      <c r="K10" s="645"/>
      <c r="L10" s="645"/>
      <c r="M10" s="645"/>
      <c r="N10" s="844"/>
      <c r="O10" s="645"/>
      <c r="P10" s="645"/>
      <c r="Q10" s="645"/>
      <c r="R10" s="645"/>
      <c r="S10" s="645"/>
      <c r="T10" s="645"/>
      <c r="U10" s="645"/>
      <c r="V10" s="844"/>
      <c r="W10" s="645"/>
      <c r="X10" s="645"/>
      <c r="Y10" s="645"/>
      <c r="Z10" s="645"/>
      <c r="AA10" s="645"/>
      <c r="AB10" s="645"/>
      <c r="AC10" s="645"/>
      <c r="AD10" s="844"/>
      <c r="AE10" s="645"/>
      <c r="AF10" s="645"/>
      <c r="AG10" s="645"/>
      <c r="AH10" s="645"/>
      <c r="AI10" s="645"/>
      <c r="AJ10" s="645"/>
      <c r="AK10" s="645"/>
      <c r="AL10" s="644"/>
      <c r="AM10" s="844"/>
      <c r="AN10" s="644"/>
      <c r="AT10" s="132"/>
      <c r="AU10" s="132"/>
      <c r="AV10" s="132"/>
    </row>
    <row r="11" spans="2:48">
      <c r="B11" s="671" t="s">
        <v>279</v>
      </c>
      <c r="C11" s="854" t="s">
        <v>280</v>
      </c>
      <c r="D11" s="198">
        <v>1</v>
      </c>
      <c r="E11" s="193" t="s">
        <v>547</v>
      </c>
      <c r="F11" s="193" t="s">
        <v>548</v>
      </c>
      <c r="G11" s="11" t="s">
        <v>116</v>
      </c>
      <c r="H11" s="322" t="s">
        <v>116</v>
      </c>
      <c r="I11" s="11" t="s">
        <v>116</v>
      </c>
      <c r="J11" s="12" t="s">
        <v>117</v>
      </c>
      <c r="K11" s="11" t="s">
        <v>108</v>
      </c>
      <c r="L11" s="11" t="s">
        <v>108</v>
      </c>
      <c r="M11" s="322" t="s">
        <v>108</v>
      </c>
      <c r="N11" s="507">
        <v>72</v>
      </c>
      <c r="O11" s="11" t="s">
        <v>116</v>
      </c>
      <c r="P11" s="322" t="s">
        <v>116</v>
      </c>
      <c r="Q11" s="11" t="s">
        <v>116</v>
      </c>
      <c r="R11" s="12" t="s">
        <v>117</v>
      </c>
      <c r="S11" s="12" t="s">
        <v>117</v>
      </c>
      <c r="T11" s="11" t="s">
        <v>108</v>
      </c>
      <c r="U11" s="322" t="s">
        <v>108</v>
      </c>
      <c r="V11" s="507">
        <v>60</v>
      </c>
      <c r="W11" s="11" t="s">
        <v>108</v>
      </c>
      <c r="X11" s="11" t="s">
        <v>116</v>
      </c>
      <c r="Y11" s="11" t="s">
        <v>116</v>
      </c>
      <c r="Z11" s="322" t="s">
        <v>116</v>
      </c>
      <c r="AA11" s="323" t="s">
        <v>117</v>
      </c>
      <c r="AB11" s="322" t="s">
        <v>108</v>
      </c>
      <c r="AC11" s="11" t="s">
        <v>108</v>
      </c>
      <c r="AD11" s="507">
        <v>60</v>
      </c>
      <c r="AE11" s="11" t="s">
        <v>116</v>
      </c>
      <c r="AF11" s="322" t="s">
        <v>116</v>
      </c>
      <c r="AG11" s="11" t="s">
        <v>116</v>
      </c>
      <c r="AH11" s="12" t="s">
        <v>117</v>
      </c>
      <c r="AI11" s="12" t="s">
        <v>117</v>
      </c>
      <c r="AJ11" s="11" t="s">
        <v>108</v>
      </c>
      <c r="AK11" s="322" t="s">
        <v>108</v>
      </c>
      <c r="AL11" s="507">
        <v>60</v>
      </c>
      <c r="AM11" s="501">
        <v>264</v>
      </c>
      <c r="AN11" s="501">
        <v>22</v>
      </c>
      <c r="AT11" s="132"/>
      <c r="AU11" s="132"/>
      <c r="AV11" s="132"/>
    </row>
    <row r="12" spans="2:48">
      <c r="B12" s="671"/>
      <c r="C12" s="854"/>
      <c r="D12" s="198">
        <v>2</v>
      </c>
      <c r="E12" s="193" t="s">
        <v>543</v>
      </c>
      <c r="F12" s="193" t="s">
        <v>544</v>
      </c>
      <c r="G12" s="12" t="s">
        <v>117</v>
      </c>
      <c r="H12" s="12" t="s">
        <v>117</v>
      </c>
      <c r="I12" s="11" t="s">
        <v>108</v>
      </c>
      <c r="J12" s="322" t="s">
        <v>108</v>
      </c>
      <c r="K12" s="322" t="s">
        <v>108</v>
      </c>
      <c r="L12" s="11" t="s">
        <v>116</v>
      </c>
      <c r="M12" s="11" t="s">
        <v>116</v>
      </c>
      <c r="N12" s="507">
        <v>60</v>
      </c>
      <c r="O12" s="12" t="s">
        <v>117</v>
      </c>
      <c r="P12" s="323" t="s">
        <v>117</v>
      </c>
      <c r="Q12" s="11" t="s">
        <v>108</v>
      </c>
      <c r="R12" s="11" t="s">
        <v>108</v>
      </c>
      <c r="S12" s="11" t="s">
        <v>108</v>
      </c>
      <c r="T12" s="322" t="s">
        <v>116</v>
      </c>
      <c r="U12" s="322" t="s">
        <v>116</v>
      </c>
      <c r="V12" s="507">
        <v>72</v>
      </c>
      <c r="W12" s="11" t="s">
        <v>116</v>
      </c>
      <c r="X12" s="12" t="s">
        <v>117</v>
      </c>
      <c r="Y12" s="11" t="s">
        <v>108</v>
      </c>
      <c r="Z12" s="322" t="s">
        <v>108</v>
      </c>
      <c r="AA12" s="322" t="s">
        <v>108</v>
      </c>
      <c r="AB12" s="11" t="s">
        <v>116</v>
      </c>
      <c r="AC12" s="11" t="s">
        <v>116</v>
      </c>
      <c r="AD12" s="507">
        <v>72</v>
      </c>
      <c r="AE12" s="11" t="s">
        <v>116</v>
      </c>
      <c r="AF12" s="323" t="s">
        <v>117</v>
      </c>
      <c r="AG12" s="11" t="s">
        <v>108</v>
      </c>
      <c r="AH12" s="11" t="s">
        <v>108</v>
      </c>
      <c r="AI12" s="11" t="s">
        <v>116</v>
      </c>
      <c r="AJ12" s="322" t="s">
        <v>116</v>
      </c>
      <c r="AK12" s="322" t="s">
        <v>116</v>
      </c>
      <c r="AL12" s="507">
        <v>60</v>
      </c>
      <c r="AM12" s="501">
        <v>264</v>
      </c>
      <c r="AN12" s="501">
        <v>22</v>
      </c>
      <c r="AT12" s="132"/>
      <c r="AU12" s="132"/>
      <c r="AV12" s="132"/>
    </row>
    <row r="13" spans="2:48">
      <c r="B13" s="671"/>
      <c r="C13" s="854"/>
      <c r="D13" s="198">
        <v>3</v>
      </c>
      <c r="E13" s="945" t="s">
        <v>553</v>
      </c>
      <c r="F13" s="945" t="s">
        <v>554</v>
      </c>
      <c r="G13" s="11" t="s">
        <v>108</v>
      </c>
      <c r="H13" s="11" t="s">
        <v>108</v>
      </c>
      <c r="I13" s="11" t="s">
        <v>116</v>
      </c>
      <c r="J13" s="322" t="s">
        <v>116</v>
      </c>
      <c r="K13" s="323" t="s">
        <v>117</v>
      </c>
      <c r="L13" s="323" t="s">
        <v>117</v>
      </c>
      <c r="M13" s="11" t="s">
        <v>108</v>
      </c>
      <c r="N13" s="507">
        <v>60</v>
      </c>
      <c r="O13" s="232" t="s">
        <v>108</v>
      </c>
      <c r="P13" s="232" t="s">
        <v>108</v>
      </c>
      <c r="Q13" s="232" t="s">
        <v>116</v>
      </c>
      <c r="R13" s="322" t="s">
        <v>116</v>
      </c>
      <c r="S13" s="322" t="s">
        <v>116</v>
      </c>
      <c r="T13" s="12" t="s">
        <v>117</v>
      </c>
      <c r="U13" s="11" t="s">
        <v>108</v>
      </c>
      <c r="V13" s="507">
        <v>72</v>
      </c>
      <c r="W13" s="11" t="s">
        <v>108</v>
      </c>
      <c r="X13" s="11" t="s">
        <v>108</v>
      </c>
      <c r="Y13" s="11" t="s">
        <v>116</v>
      </c>
      <c r="Z13" s="11" t="s">
        <v>116</v>
      </c>
      <c r="AA13" s="322" t="s">
        <v>116</v>
      </c>
      <c r="AB13" s="323" t="s">
        <v>117</v>
      </c>
      <c r="AC13" s="323" t="s">
        <v>117</v>
      </c>
      <c r="AD13" s="507">
        <v>72</v>
      </c>
      <c r="AE13" s="11" t="s">
        <v>108</v>
      </c>
      <c r="AF13" s="11" t="s">
        <v>108</v>
      </c>
      <c r="AG13" s="11" t="s">
        <v>116</v>
      </c>
      <c r="AH13" s="322" t="s">
        <v>116</v>
      </c>
      <c r="AI13" s="322" t="s">
        <v>116</v>
      </c>
      <c r="AJ13" s="12" t="s">
        <v>117</v>
      </c>
      <c r="AK13" s="11" t="s">
        <v>108</v>
      </c>
      <c r="AL13" s="507">
        <v>60</v>
      </c>
      <c r="AM13" s="501">
        <v>264</v>
      </c>
      <c r="AN13" s="501">
        <v>22</v>
      </c>
      <c r="AT13" s="132"/>
      <c r="AU13" s="132"/>
      <c r="AV13" s="132"/>
    </row>
    <row r="14" spans="2:48">
      <c r="B14" s="671"/>
      <c r="C14" s="854" t="s">
        <v>281</v>
      </c>
      <c r="D14" s="198">
        <v>4</v>
      </c>
      <c r="E14" s="585" t="s">
        <v>535</v>
      </c>
      <c r="F14" s="585" t="s">
        <v>536</v>
      </c>
      <c r="G14" s="11" t="s">
        <v>108</v>
      </c>
      <c r="H14" s="322" t="s">
        <v>108</v>
      </c>
      <c r="I14" s="11" t="s">
        <v>108</v>
      </c>
      <c r="J14" s="11" t="s">
        <v>116</v>
      </c>
      <c r="K14" s="11" t="s">
        <v>116</v>
      </c>
      <c r="L14" s="11" t="s">
        <v>116</v>
      </c>
      <c r="M14" s="323" t="s">
        <v>117</v>
      </c>
      <c r="N14" s="507">
        <v>72</v>
      </c>
      <c r="O14" s="11" t="s">
        <v>108</v>
      </c>
      <c r="P14" s="11" t="s">
        <v>108</v>
      </c>
      <c r="Q14" s="11" t="s">
        <v>108</v>
      </c>
      <c r="R14" s="11" t="s">
        <v>116</v>
      </c>
      <c r="S14" s="322" t="s">
        <v>116</v>
      </c>
      <c r="T14" s="322" t="s">
        <v>116</v>
      </c>
      <c r="U14" s="12" t="s">
        <v>117</v>
      </c>
      <c r="V14" s="507">
        <v>60</v>
      </c>
      <c r="W14" s="12" t="s">
        <v>117</v>
      </c>
      <c r="X14" s="11" t="s">
        <v>108</v>
      </c>
      <c r="Y14" s="11" t="s">
        <v>108</v>
      </c>
      <c r="Z14" s="11" t="s">
        <v>108</v>
      </c>
      <c r="AA14" s="11" t="s">
        <v>116</v>
      </c>
      <c r="AB14" s="322" t="s">
        <v>116</v>
      </c>
      <c r="AC14" s="323" t="s">
        <v>117</v>
      </c>
      <c r="AD14" s="507">
        <v>60</v>
      </c>
      <c r="AE14" s="11" t="s">
        <v>108</v>
      </c>
      <c r="AF14" s="11" t="s">
        <v>108</v>
      </c>
      <c r="AG14" s="11" t="s">
        <v>108</v>
      </c>
      <c r="AH14" s="11" t="s">
        <v>116</v>
      </c>
      <c r="AI14" s="322" t="s">
        <v>116</v>
      </c>
      <c r="AJ14" s="322" t="s">
        <v>116</v>
      </c>
      <c r="AK14" s="12" t="s">
        <v>117</v>
      </c>
      <c r="AL14" s="507">
        <v>72</v>
      </c>
      <c r="AM14" s="501">
        <v>275</v>
      </c>
      <c r="AN14" s="501">
        <v>23</v>
      </c>
      <c r="AT14" s="132"/>
      <c r="AU14" s="132"/>
      <c r="AV14" s="132"/>
    </row>
    <row r="15" spans="2:48">
      <c r="B15" s="671"/>
      <c r="C15" s="854"/>
      <c r="D15" s="198">
        <v>5</v>
      </c>
      <c r="E15" s="193" t="s">
        <v>539</v>
      </c>
      <c r="F15" s="193" t="s">
        <v>540</v>
      </c>
      <c r="G15" s="11" t="s">
        <v>116</v>
      </c>
      <c r="H15" s="11" t="s">
        <v>116</v>
      </c>
      <c r="I15" s="12" t="s">
        <v>117</v>
      </c>
      <c r="J15" s="11" t="s">
        <v>108</v>
      </c>
      <c r="K15" s="11" t="s">
        <v>108</v>
      </c>
      <c r="L15" s="322" t="s">
        <v>108</v>
      </c>
      <c r="M15" s="322" t="s">
        <v>116</v>
      </c>
      <c r="N15" s="507">
        <v>72</v>
      </c>
      <c r="O15" s="11" t="s">
        <v>116</v>
      </c>
      <c r="P15" s="322" t="s">
        <v>116</v>
      </c>
      <c r="Q15" s="12" t="s">
        <v>117</v>
      </c>
      <c r="R15" s="11" t="s">
        <v>108</v>
      </c>
      <c r="S15" s="11" t="s">
        <v>108</v>
      </c>
      <c r="T15" s="11" t="s">
        <v>108</v>
      </c>
      <c r="U15" s="322" t="s">
        <v>116</v>
      </c>
      <c r="V15" s="507">
        <v>60</v>
      </c>
      <c r="W15" s="11" t="s">
        <v>116</v>
      </c>
      <c r="X15" s="11" t="s">
        <v>116</v>
      </c>
      <c r="Y15" s="327" t="s">
        <v>117</v>
      </c>
      <c r="Z15" s="359" t="s">
        <v>117</v>
      </c>
      <c r="AA15" s="322" t="s">
        <v>108</v>
      </c>
      <c r="AB15" s="322" t="s">
        <v>108</v>
      </c>
      <c r="AC15" s="11" t="s">
        <v>116</v>
      </c>
      <c r="AD15" s="507">
        <v>60</v>
      </c>
      <c r="AE15" s="11" t="s">
        <v>116</v>
      </c>
      <c r="AF15" s="322" t="s">
        <v>116</v>
      </c>
      <c r="AG15" s="12" t="s">
        <v>117</v>
      </c>
      <c r="AH15" s="11" t="s">
        <v>108</v>
      </c>
      <c r="AI15" s="11" t="s">
        <v>108</v>
      </c>
      <c r="AJ15" s="11" t="s">
        <v>108</v>
      </c>
      <c r="AK15" s="322" t="s">
        <v>116</v>
      </c>
      <c r="AL15" s="507">
        <v>72</v>
      </c>
      <c r="AM15" s="501">
        <v>264</v>
      </c>
      <c r="AN15" s="501">
        <v>22</v>
      </c>
      <c r="AT15" s="132"/>
      <c r="AU15" s="132"/>
      <c r="AV15" s="132"/>
    </row>
    <row r="16" spans="2:48">
      <c r="B16" s="671"/>
      <c r="C16" s="853" t="s">
        <v>282</v>
      </c>
      <c r="D16" s="198">
        <v>6</v>
      </c>
      <c r="E16" s="193" t="s">
        <v>549</v>
      </c>
      <c r="F16" s="193" t="s">
        <v>550</v>
      </c>
      <c r="G16" s="11" t="s">
        <v>116</v>
      </c>
      <c r="H16" s="322" t="s">
        <v>116</v>
      </c>
      <c r="I16" s="11" t="s">
        <v>116</v>
      </c>
      <c r="J16" s="12" t="s">
        <v>117</v>
      </c>
      <c r="K16" s="12" t="s">
        <v>117</v>
      </c>
      <c r="L16" s="11" t="s">
        <v>108</v>
      </c>
      <c r="M16" s="322" t="s">
        <v>108</v>
      </c>
      <c r="N16" s="507">
        <v>72</v>
      </c>
      <c r="O16" s="11" t="s">
        <v>116</v>
      </c>
      <c r="P16" s="322" t="s">
        <v>116</v>
      </c>
      <c r="Q16" s="11" t="s">
        <v>116</v>
      </c>
      <c r="R16" s="12" t="s">
        <v>117</v>
      </c>
      <c r="S16" s="11" t="s">
        <v>108</v>
      </c>
      <c r="T16" s="11" t="s">
        <v>108</v>
      </c>
      <c r="U16" s="322" t="s">
        <v>108</v>
      </c>
      <c r="V16" s="507">
        <v>60</v>
      </c>
      <c r="W16" s="11" t="s">
        <v>108</v>
      </c>
      <c r="X16" s="11" t="s">
        <v>116</v>
      </c>
      <c r="Y16" s="11" t="s">
        <v>116</v>
      </c>
      <c r="Z16" s="322" t="s">
        <v>116</v>
      </c>
      <c r="AA16" s="323" t="s">
        <v>117</v>
      </c>
      <c r="AB16" s="322" t="s">
        <v>108</v>
      </c>
      <c r="AC16" s="11" t="s">
        <v>108</v>
      </c>
      <c r="AD16" s="507">
        <v>60</v>
      </c>
      <c r="AE16" s="11" t="s">
        <v>108</v>
      </c>
      <c r="AF16" s="322" t="s">
        <v>116</v>
      </c>
      <c r="AG16" s="11" t="s">
        <v>116</v>
      </c>
      <c r="AH16" s="12" t="s">
        <v>117</v>
      </c>
      <c r="AI16" s="11" t="s">
        <v>108</v>
      </c>
      <c r="AJ16" s="11" t="s">
        <v>108</v>
      </c>
      <c r="AK16" s="322" t="s">
        <v>108</v>
      </c>
      <c r="AL16" s="507">
        <v>72</v>
      </c>
      <c r="AM16" s="501">
        <v>264</v>
      </c>
      <c r="AN16" s="501">
        <v>22</v>
      </c>
      <c r="AT16" s="132"/>
      <c r="AU16" s="132"/>
      <c r="AV16" s="132"/>
    </row>
    <row r="17" spans="2:48">
      <c r="B17" s="671"/>
      <c r="C17" s="853"/>
      <c r="D17" s="198">
        <v>7</v>
      </c>
      <c r="E17" s="193" t="s">
        <v>741</v>
      </c>
      <c r="F17" s="193" t="s">
        <v>722</v>
      </c>
      <c r="G17" s="12" t="s">
        <v>117</v>
      </c>
      <c r="H17" s="12" t="s">
        <v>117</v>
      </c>
      <c r="I17" s="11" t="s">
        <v>108</v>
      </c>
      <c r="J17" s="322" t="s">
        <v>108</v>
      </c>
      <c r="K17" s="322" t="s">
        <v>116</v>
      </c>
      <c r="L17" s="11" t="s">
        <v>116</v>
      </c>
      <c r="M17" s="11" t="s">
        <v>116</v>
      </c>
      <c r="N17" s="507">
        <v>60</v>
      </c>
      <c r="O17" s="12" t="s">
        <v>117</v>
      </c>
      <c r="P17" s="11" t="s">
        <v>108</v>
      </c>
      <c r="Q17" s="11" t="s">
        <v>108</v>
      </c>
      <c r="R17" s="11" t="s">
        <v>108</v>
      </c>
      <c r="S17" s="11" t="s">
        <v>108</v>
      </c>
      <c r="T17" s="322" t="s">
        <v>116</v>
      </c>
      <c r="U17" s="322" t="s">
        <v>116</v>
      </c>
      <c r="V17" s="507">
        <v>72</v>
      </c>
      <c r="W17" s="11" t="s">
        <v>116</v>
      </c>
      <c r="X17" s="12" t="s">
        <v>117</v>
      </c>
      <c r="Y17" s="11" t="s">
        <v>108</v>
      </c>
      <c r="Z17" s="322" t="s">
        <v>108</v>
      </c>
      <c r="AA17" s="322" t="s">
        <v>108</v>
      </c>
      <c r="AB17" s="11" t="s">
        <v>116</v>
      </c>
      <c r="AC17" s="11" t="s">
        <v>116</v>
      </c>
      <c r="AD17" s="507">
        <v>72</v>
      </c>
      <c r="AE17" s="323" t="s">
        <v>117</v>
      </c>
      <c r="AF17" s="323" t="s">
        <v>117</v>
      </c>
      <c r="AG17" s="11" t="s">
        <v>108</v>
      </c>
      <c r="AH17" s="11" t="s">
        <v>108</v>
      </c>
      <c r="AI17" s="11" t="s">
        <v>108</v>
      </c>
      <c r="AJ17" s="322" t="s">
        <v>116</v>
      </c>
      <c r="AK17" s="322" t="s">
        <v>116</v>
      </c>
      <c r="AL17" s="507">
        <v>60</v>
      </c>
      <c r="AM17" s="501">
        <v>264</v>
      </c>
      <c r="AN17" s="501">
        <v>22</v>
      </c>
      <c r="AT17" s="132"/>
      <c r="AU17" s="132"/>
      <c r="AV17" s="132"/>
    </row>
    <row r="18" spans="2:48">
      <c r="B18" s="671"/>
      <c r="C18" s="853"/>
      <c r="D18" s="198">
        <v>8</v>
      </c>
      <c r="E18" s="193" t="s">
        <v>692</v>
      </c>
      <c r="F18" s="193" t="s">
        <v>691</v>
      </c>
      <c r="G18" s="11" t="s">
        <v>108</v>
      </c>
      <c r="H18" s="11" t="s">
        <v>108</v>
      </c>
      <c r="I18" s="11" t="s">
        <v>116</v>
      </c>
      <c r="J18" s="322" t="s">
        <v>116</v>
      </c>
      <c r="K18" s="322" t="s">
        <v>116</v>
      </c>
      <c r="L18" s="323" t="s">
        <v>117</v>
      </c>
      <c r="M18" s="11" t="s">
        <v>108</v>
      </c>
      <c r="N18" s="507">
        <v>72</v>
      </c>
      <c r="O18" s="11" t="s">
        <v>108</v>
      </c>
      <c r="P18" s="11" t="s">
        <v>116</v>
      </c>
      <c r="Q18" s="11" t="s">
        <v>116</v>
      </c>
      <c r="R18" s="322" t="s">
        <v>116</v>
      </c>
      <c r="S18" s="12" t="s">
        <v>117</v>
      </c>
      <c r="T18" s="12" t="s">
        <v>117</v>
      </c>
      <c r="U18" s="11" t="s">
        <v>108</v>
      </c>
      <c r="V18" s="507">
        <v>72</v>
      </c>
      <c r="W18" s="11" t="s">
        <v>108</v>
      </c>
      <c r="X18" s="11" t="s">
        <v>108</v>
      </c>
      <c r="Y18" s="11" t="s">
        <v>116</v>
      </c>
      <c r="Z18" s="322" t="s">
        <v>116</v>
      </c>
      <c r="AA18" s="322" t="s">
        <v>116</v>
      </c>
      <c r="AB18" s="323" t="s">
        <v>117</v>
      </c>
      <c r="AC18" s="11" t="s">
        <v>108</v>
      </c>
      <c r="AD18" s="507">
        <v>72</v>
      </c>
      <c r="AE18" s="11" t="s">
        <v>108</v>
      </c>
      <c r="AF18" s="11" t="s">
        <v>108</v>
      </c>
      <c r="AG18" s="11" t="s">
        <v>116</v>
      </c>
      <c r="AH18" s="322" t="s">
        <v>116</v>
      </c>
      <c r="AI18" s="12" t="s">
        <v>117</v>
      </c>
      <c r="AJ18" s="12" t="s">
        <v>117</v>
      </c>
      <c r="AK18" s="11" t="s">
        <v>108</v>
      </c>
      <c r="AL18" s="507">
        <v>60</v>
      </c>
      <c r="AM18" s="501">
        <v>276</v>
      </c>
      <c r="AN18" s="501">
        <v>23</v>
      </c>
      <c r="AT18" s="132"/>
      <c r="AU18" s="132"/>
      <c r="AV18" s="132"/>
    </row>
    <row r="19" spans="2:48">
      <c r="B19" s="671"/>
      <c r="C19" s="853" t="s">
        <v>283</v>
      </c>
      <c r="D19" s="198">
        <v>9</v>
      </c>
      <c r="E19" s="193" t="s">
        <v>545</v>
      </c>
      <c r="F19" s="193" t="s">
        <v>546</v>
      </c>
      <c r="G19" s="11" t="s">
        <v>108</v>
      </c>
      <c r="H19" s="322" t="s">
        <v>108</v>
      </c>
      <c r="I19" s="11" t="s">
        <v>108</v>
      </c>
      <c r="J19" s="11" t="s">
        <v>116</v>
      </c>
      <c r="K19" s="11" t="s">
        <v>116</v>
      </c>
      <c r="L19" s="11" t="s">
        <v>116</v>
      </c>
      <c r="M19" s="323" t="s">
        <v>117</v>
      </c>
      <c r="N19" s="507">
        <v>72</v>
      </c>
      <c r="O19" s="11" t="s">
        <v>108</v>
      </c>
      <c r="P19" s="11" t="s">
        <v>108</v>
      </c>
      <c r="Q19" s="11" t="s">
        <v>108</v>
      </c>
      <c r="R19" s="11" t="s">
        <v>116</v>
      </c>
      <c r="S19" s="322" t="s">
        <v>116</v>
      </c>
      <c r="T19" s="322" t="s">
        <v>116</v>
      </c>
      <c r="U19" s="12" t="s">
        <v>117</v>
      </c>
      <c r="V19" s="507">
        <v>60</v>
      </c>
      <c r="W19" s="12" t="s">
        <v>117</v>
      </c>
      <c r="X19" s="11" t="s">
        <v>108</v>
      </c>
      <c r="Y19" s="11" t="s">
        <v>108</v>
      </c>
      <c r="Z19" s="11" t="s">
        <v>108</v>
      </c>
      <c r="AA19" s="11" t="s">
        <v>116</v>
      </c>
      <c r="AB19" s="322" t="s">
        <v>116</v>
      </c>
      <c r="AC19" s="322" t="s">
        <v>116</v>
      </c>
      <c r="AD19" s="507">
        <v>60</v>
      </c>
      <c r="AE19" s="12" t="s">
        <v>117</v>
      </c>
      <c r="AF19" s="11" t="s">
        <v>108</v>
      </c>
      <c r="AG19" s="11" t="s">
        <v>108</v>
      </c>
      <c r="AH19" s="11" t="s">
        <v>116</v>
      </c>
      <c r="AI19" s="322" t="s">
        <v>116</v>
      </c>
      <c r="AJ19" s="322" t="s">
        <v>116</v>
      </c>
      <c r="AK19" s="12" t="s">
        <v>117</v>
      </c>
      <c r="AL19" s="507">
        <v>72</v>
      </c>
      <c r="AM19" s="501">
        <v>276</v>
      </c>
      <c r="AN19" s="501">
        <v>23</v>
      </c>
      <c r="AT19" s="132"/>
      <c r="AU19" s="132"/>
      <c r="AV19" s="132"/>
    </row>
    <row r="20" spans="2:48">
      <c r="B20" s="671"/>
      <c r="C20" s="853"/>
      <c r="D20" s="198">
        <v>10</v>
      </c>
      <c r="E20" s="193" t="s">
        <v>541</v>
      </c>
      <c r="F20" s="193" t="s">
        <v>542</v>
      </c>
      <c r="G20" s="11" t="s">
        <v>116</v>
      </c>
      <c r="H20" s="11" t="s">
        <v>116</v>
      </c>
      <c r="I20" s="12" t="s">
        <v>117</v>
      </c>
      <c r="J20" s="11" t="s">
        <v>108</v>
      </c>
      <c r="K20" s="11" t="s">
        <v>108</v>
      </c>
      <c r="L20" s="322" t="s">
        <v>108</v>
      </c>
      <c r="M20" s="322" t="s">
        <v>116</v>
      </c>
      <c r="N20" s="507">
        <v>60</v>
      </c>
      <c r="O20" s="11" t="s">
        <v>116</v>
      </c>
      <c r="P20" s="322" t="s">
        <v>116</v>
      </c>
      <c r="Q20" s="12" t="s">
        <v>117</v>
      </c>
      <c r="R20" s="11" t="s">
        <v>108</v>
      </c>
      <c r="S20" s="11" t="s">
        <v>108</v>
      </c>
      <c r="T20" s="11" t="s">
        <v>108</v>
      </c>
      <c r="U20" s="322" t="s">
        <v>116</v>
      </c>
      <c r="V20" s="507">
        <v>72</v>
      </c>
      <c r="W20" s="11" t="s">
        <v>116</v>
      </c>
      <c r="X20" s="11" t="s">
        <v>116</v>
      </c>
      <c r="Y20" s="327" t="s">
        <v>117</v>
      </c>
      <c r="Z20" s="359" t="s">
        <v>117</v>
      </c>
      <c r="AA20" s="322" t="s">
        <v>108</v>
      </c>
      <c r="AB20" s="322" t="s">
        <v>108</v>
      </c>
      <c r="AC20" s="11" t="s">
        <v>108</v>
      </c>
      <c r="AD20" s="507">
        <v>72</v>
      </c>
      <c r="AE20" s="11" t="s">
        <v>116</v>
      </c>
      <c r="AF20" s="322" t="s">
        <v>116</v>
      </c>
      <c r="AG20" s="12" t="s">
        <v>117</v>
      </c>
      <c r="AH20" s="11" t="s">
        <v>108</v>
      </c>
      <c r="AI20" s="11" t="s">
        <v>108</v>
      </c>
      <c r="AJ20" s="11" t="s">
        <v>108</v>
      </c>
      <c r="AK20" s="322" t="s">
        <v>116</v>
      </c>
      <c r="AL20" s="507">
        <v>60</v>
      </c>
      <c r="AM20" s="501">
        <v>264</v>
      </c>
      <c r="AN20" s="501">
        <v>22</v>
      </c>
      <c r="AT20" s="132"/>
      <c r="AU20" s="132"/>
      <c r="AV20" s="132"/>
    </row>
    <row r="21" spans="2:48">
      <c r="B21" s="671"/>
      <c r="C21" s="662" t="s">
        <v>284</v>
      </c>
      <c r="D21" s="198">
        <v>11</v>
      </c>
      <c r="E21" s="193" t="s">
        <v>743</v>
      </c>
      <c r="F21" s="193" t="s">
        <v>742</v>
      </c>
      <c r="G21" s="11" t="s">
        <v>116</v>
      </c>
      <c r="H21" s="360" t="s">
        <v>116</v>
      </c>
      <c r="I21" s="360" t="s">
        <v>116</v>
      </c>
      <c r="J21" s="12" t="s">
        <v>117</v>
      </c>
      <c r="K21" s="11" t="s">
        <v>108</v>
      </c>
      <c r="L21" s="11" t="s">
        <v>108</v>
      </c>
      <c r="M21" s="361" t="s">
        <v>108</v>
      </c>
      <c r="N21" s="507">
        <v>72</v>
      </c>
      <c r="O21" s="11" t="s">
        <v>116</v>
      </c>
      <c r="P21" s="360" t="s">
        <v>116</v>
      </c>
      <c r="Q21" s="360" t="s">
        <v>116</v>
      </c>
      <c r="R21" s="12" t="s">
        <v>117</v>
      </c>
      <c r="S21" s="12" t="s">
        <v>117</v>
      </c>
      <c r="T21" s="11" t="s">
        <v>108</v>
      </c>
      <c r="U21" s="361" t="s">
        <v>108</v>
      </c>
      <c r="V21" s="507">
        <v>60</v>
      </c>
      <c r="W21" s="11" t="s">
        <v>116</v>
      </c>
      <c r="X21" s="360" t="s">
        <v>116</v>
      </c>
      <c r="Y21" s="360" t="s">
        <v>116</v>
      </c>
      <c r="Z21" s="12" t="s">
        <v>117</v>
      </c>
      <c r="AA21" s="11" t="s">
        <v>108</v>
      </c>
      <c r="AB21" s="11" t="s">
        <v>108</v>
      </c>
      <c r="AC21" s="361" t="s">
        <v>108</v>
      </c>
      <c r="AD21" s="507">
        <v>60</v>
      </c>
      <c r="AE21" s="11" t="s">
        <v>116</v>
      </c>
      <c r="AF21" s="322" t="s">
        <v>116</v>
      </c>
      <c r="AG21" s="360" t="s">
        <v>116</v>
      </c>
      <c r="AH21" s="12" t="s">
        <v>117</v>
      </c>
      <c r="AI21" s="12" t="s">
        <v>117</v>
      </c>
      <c r="AJ21" s="11" t="s">
        <v>108</v>
      </c>
      <c r="AK21" s="361" t="s">
        <v>108</v>
      </c>
      <c r="AL21" s="507">
        <v>72</v>
      </c>
      <c r="AM21" s="501">
        <v>264</v>
      </c>
      <c r="AN21" s="501">
        <v>22</v>
      </c>
      <c r="AT21" s="132"/>
      <c r="AU21" s="132"/>
      <c r="AV21" s="132"/>
    </row>
    <row r="22" spans="2:48">
      <c r="B22" s="671"/>
      <c r="C22" s="662"/>
      <c r="D22" s="198">
        <v>12</v>
      </c>
      <c r="E22" s="193" t="s">
        <v>745</v>
      </c>
      <c r="F22" s="193" t="s">
        <v>744</v>
      </c>
      <c r="G22" s="12" t="s">
        <v>117</v>
      </c>
      <c r="H22" s="11" t="s">
        <v>108</v>
      </c>
      <c r="I22" s="11" t="s">
        <v>108</v>
      </c>
      <c r="J22" s="322" t="s">
        <v>108</v>
      </c>
      <c r="K22" s="11" t="s">
        <v>116</v>
      </c>
      <c r="L22" s="11" t="s">
        <v>116</v>
      </c>
      <c r="M22" s="11" t="s">
        <v>116</v>
      </c>
      <c r="N22" s="507">
        <v>60</v>
      </c>
      <c r="O22" s="12" t="s">
        <v>117</v>
      </c>
      <c r="P22" s="323" t="s">
        <v>117</v>
      </c>
      <c r="Q22" s="11" t="s">
        <v>108</v>
      </c>
      <c r="R22" s="11" t="s">
        <v>108</v>
      </c>
      <c r="S22" s="11" t="s">
        <v>116</v>
      </c>
      <c r="T22" s="322" t="s">
        <v>116</v>
      </c>
      <c r="U22" s="322" t="s">
        <v>116</v>
      </c>
      <c r="V22" s="507">
        <v>60</v>
      </c>
      <c r="W22" s="12" t="s">
        <v>117</v>
      </c>
      <c r="X22" s="11" t="s">
        <v>108</v>
      </c>
      <c r="Y22" s="11" t="s">
        <v>108</v>
      </c>
      <c r="Z22" s="322" t="s">
        <v>108</v>
      </c>
      <c r="AA22" s="11" t="s">
        <v>116</v>
      </c>
      <c r="AB22" s="11" t="s">
        <v>116</v>
      </c>
      <c r="AC22" s="11" t="s">
        <v>116</v>
      </c>
      <c r="AD22" s="507">
        <v>60</v>
      </c>
      <c r="AE22" s="12" t="s">
        <v>117</v>
      </c>
      <c r="AF22" s="323" t="s">
        <v>117</v>
      </c>
      <c r="AG22" s="11" t="s">
        <v>108</v>
      </c>
      <c r="AH22" s="11" t="s">
        <v>108</v>
      </c>
      <c r="AI22" s="11" t="s">
        <v>108</v>
      </c>
      <c r="AJ22" s="322" t="s">
        <v>116</v>
      </c>
      <c r="AK22" s="322" t="s">
        <v>116</v>
      </c>
      <c r="AL22" s="507">
        <v>72</v>
      </c>
      <c r="AM22" s="501">
        <v>264</v>
      </c>
      <c r="AN22" s="501">
        <v>22</v>
      </c>
      <c r="AT22" s="132"/>
      <c r="AU22" s="132"/>
      <c r="AV22" s="132"/>
    </row>
    <row r="23" spans="2:48">
      <c r="B23" s="671"/>
      <c r="C23" s="662"/>
      <c r="D23" s="198">
        <v>13</v>
      </c>
      <c r="E23" s="193" t="s">
        <v>551</v>
      </c>
      <c r="F23" s="193" t="s">
        <v>552</v>
      </c>
      <c r="G23" s="11" t="s">
        <v>108</v>
      </c>
      <c r="H23" s="11" t="s">
        <v>116</v>
      </c>
      <c r="I23" s="11" t="s">
        <v>116</v>
      </c>
      <c r="J23" s="322" t="s">
        <v>116</v>
      </c>
      <c r="K23" s="323" t="s">
        <v>117</v>
      </c>
      <c r="L23" s="323" t="s">
        <v>117</v>
      </c>
      <c r="M23" s="322" t="s">
        <v>108</v>
      </c>
      <c r="N23" s="507">
        <v>60</v>
      </c>
      <c r="O23" s="11" t="s">
        <v>108</v>
      </c>
      <c r="P23" s="11" t="s">
        <v>108</v>
      </c>
      <c r="Q23" s="11" t="s">
        <v>116</v>
      </c>
      <c r="R23" s="322" t="s">
        <v>116</v>
      </c>
      <c r="S23" s="322" t="s">
        <v>116</v>
      </c>
      <c r="T23" s="12" t="s">
        <v>117</v>
      </c>
      <c r="U23" s="322" t="s">
        <v>108</v>
      </c>
      <c r="V23" s="507">
        <v>72</v>
      </c>
      <c r="W23" s="11" t="s">
        <v>108</v>
      </c>
      <c r="X23" s="11" t="s">
        <v>116</v>
      </c>
      <c r="Y23" s="11" t="s">
        <v>116</v>
      </c>
      <c r="Z23" s="322" t="s">
        <v>116</v>
      </c>
      <c r="AA23" s="323" t="s">
        <v>117</v>
      </c>
      <c r="AB23" s="323" t="s">
        <v>117</v>
      </c>
      <c r="AC23" s="322" t="s">
        <v>108</v>
      </c>
      <c r="AD23" s="507">
        <v>72</v>
      </c>
      <c r="AE23" s="11" t="s">
        <v>108</v>
      </c>
      <c r="AF23" s="11" t="s">
        <v>108</v>
      </c>
      <c r="AG23" s="11" t="s">
        <v>116</v>
      </c>
      <c r="AH23" s="322" t="s">
        <v>116</v>
      </c>
      <c r="AI23" s="322" t="s">
        <v>116</v>
      </c>
      <c r="AJ23" s="12" t="s">
        <v>117</v>
      </c>
      <c r="AK23" s="322" t="s">
        <v>108</v>
      </c>
      <c r="AL23" s="507">
        <v>60</v>
      </c>
      <c r="AM23" s="501">
        <v>264</v>
      </c>
      <c r="AN23" s="501">
        <v>22</v>
      </c>
      <c r="AT23" s="132"/>
      <c r="AU23" s="132"/>
      <c r="AV23" s="132"/>
    </row>
    <row r="24" spans="2:48">
      <c r="B24" s="353"/>
      <c r="C24" s="353"/>
      <c r="AM24" s="500"/>
      <c r="AN24" s="353"/>
      <c r="AT24" s="132"/>
      <c r="AU24" s="132"/>
      <c r="AV24" s="132"/>
    </row>
    <row r="25" spans="2:48" ht="15" customHeight="1">
      <c r="B25" s="676" t="s">
        <v>126</v>
      </c>
      <c r="C25" s="676" t="s">
        <v>127</v>
      </c>
      <c r="D25" s="196" t="s">
        <v>101</v>
      </c>
      <c r="E25" s="196" t="s">
        <v>285</v>
      </c>
      <c r="F25" s="196" t="s">
        <v>286</v>
      </c>
      <c r="G25" s="229" t="s">
        <v>103</v>
      </c>
      <c r="H25" s="229" t="s">
        <v>104</v>
      </c>
      <c r="I25" s="229" t="s">
        <v>104</v>
      </c>
      <c r="J25" s="229" t="s">
        <v>105</v>
      </c>
      <c r="K25" s="229" t="s">
        <v>106</v>
      </c>
      <c r="L25" s="229" t="s">
        <v>107</v>
      </c>
      <c r="M25" s="229" t="s">
        <v>108</v>
      </c>
      <c r="N25" s="844" t="s">
        <v>109</v>
      </c>
      <c r="O25" s="230" t="s">
        <v>103</v>
      </c>
      <c r="P25" s="230" t="s">
        <v>104</v>
      </c>
      <c r="Q25" s="230" t="s">
        <v>104</v>
      </c>
      <c r="R25" s="230" t="s">
        <v>105</v>
      </c>
      <c r="S25" s="230" t="s">
        <v>106</v>
      </c>
      <c r="T25" s="230" t="s">
        <v>107</v>
      </c>
      <c r="U25" s="230" t="s">
        <v>108</v>
      </c>
      <c r="V25" s="844" t="s">
        <v>109</v>
      </c>
      <c r="W25" s="231" t="s">
        <v>103</v>
      </c>
      <c r="X25" s="231" t="s">
        <v>104</v>
      </c>
      <c r="Y25" s="231" t="s">
        <v>104</v>
      </c>
      <c r="Z25" s="231" t="s">
        <v>105</v>
      </c>
      <c r="AA25" s="231" t="s">
        <v>106</v>
      </c>
      <c r="AB25" s="231" t="s">
        <v>107</v>
      </c>
      <c r="AC25" s="231" t="s">
        <v>108</v>
      </c>
      <c r="AD25" s="844" t="s">
        <v>109</v>
      </c>
      <c r="AE25" s="227" t="s">
        <v>103</v>
      </c>
      <c r="AF25" s="227" t="s">
        <v>104</v>
      </c>
      <c r="AG25" s="227" t="s">
        <v>104</v>
      </c>
      <c r="AH25" s="228" t="s">
        <v>105</v>
      </c>
      <c r="AI25" s="228" t="s">
        <v>106</v>
      </c>
      <c r="AJ25" s="228" t="s">
        <v>107</v>
      </c>
      <c r="AK25" s="228" t="s">
        <v>108</v>
      </c>
      <c r="AL25" s="644" t="s">
        <v>109</v>
      </c>
      <c r="AM25" s="844" t="s">
        <v>129</v>
      </c>
      <c r="AN25" s="644" t="s">
        <v>111</v>
      </c>
      <c r="AT25" s="132"/>
      <c r="AU25" s="132"/>
      <c r="AV25" s="132"/>
    </row>
    <row r="26" spans="2:48">
      <c r="B26" s="676"/>
      <c r="C26" s="676"/>
      <c r="D26" s="196" t="s">
        <v>112</v>
      </c>
      <c r="E26" s="196" t="s">
        <v>845</v>
      </c>
      <c r="F26" s="196" t="s">
        <v>113</v>
      </c>
      <c r="G26" s="645">
        <v>7</v>
      </c>
      <c r="H26" s="645">
        <v>8</v>
      </c>
      <c r="I26" s="645">
        <v>9</v>
      </c>
      <c r="J26" s="645">
        <v>10</v>
      </c>
      <c r="K26" s="645">
        <v>11</v>
      </c>
      <c r="L26" s="645">
        <v>12</v>
      </c>
      <c r="M26" s="645">
        <v>13</v>
      </c>
      <c r="N26" s="844"/>
      <c r="O26" s="645">
        <v>14</v>
      </c>
      <c r="P26" s="645">
        <v>15</v>
      </c>
      <c r="Q26" s="645">
        <v>16</v>
      </c>
      <c r="R26" s="645">
        <v>17</v>
      </c>
      <c r="S26" s="645">
        <v>18</v>
      </c>
      <c r="T26" s="645">
        <v>19</v>
      </c>
      <c r="U26" s="645">
        <v>20</v>
      </c>
      <c r="V26" s="844"/>
      <c r="W26" s="645">
        <v>21</v>
      </c>
      <c r="X26" s="645">
        <v>22</v>
      </c>
      <c r="Y26" s="645">
        <v>23</v>
      </c>
      <c r="Z26" s="645">
        <v>24</v>
      </c>
      <c r="AA26" s="645">
        <v>25</v>
      </c>
      <c r="AB26" s="645">
        <v>26</v>
      </c>
      <c r="AC26" s="645">
        <v>27</v>
      </c>
      <c r="AD26" s="844"/>
      <c r="AE26" s="645">
        <v>28</v>
      </c>
      <c r="AF26" s="645">
        <v>29</v>
      </c>
      <c r="AG26" s="645">
        <v>30</v>
      </c>
      <c r="AH26" s="645">
        <v>1</v>
      </c>
      <c r="AI26" s="645">
        <v>2</v>
      </c>
      <c r="AJ26" s="645">
        <v>3</v>
      </c>
      <c r="AK26" s="645">
        <v>4</v>
      </c>
      <c r="AL26" s="644"/>
      <c r="AM26" s="844"/>
      <c r="AN26" s="644"/>
      <c r="AT26" s="132"/>
      <c r="AU26" s="132"/>
      <c r="AV26" s="132"/>
    </row>
    <row r="27" spans="2:48">
      <c r="B27" s="676"/>
      <c r="C27" s="676"/>
      <c r="D27" s="325" t="s">
        <v>42</v>
      </c>
      <c r="E27" s="218" t="s">
        <v>114</v>
      </c>
      <c r="F27" s="218" t="s">
        <v>115</v>
      </c>
      <c r="G27" s="645"/>
      <c r="H27" s="645"/>
      <c r="I27" s="645"/>
      <c r="J27" s="645"/>
      <c r="K27" s="645"/>
      <c r="L27" s="645"/>
      <c r="M27" s="645"/>
      <c r="N27" s="844"/>
      <c r="O27" s="645"/>
      <c r="P27" s="645"/>
      <c r="Q27" s="645"/>
      <c r="R27" s="645"/>
      <c r="S27" s="645"/>
      <c r="T27" s="645"/>
      <c r="U27" s="645"/>
      <c r="V27" s="844"/>
      <c r="W27" s="645"/>
      <c r="X27" s="645"/>
      <c r="Y27" s="645"/>
      <c r="Z27" s="645"/>
      <c r="AA27" s="645"/>
      <c r="AB27" s="645"/>
      <c r="AC27" s="645"/>
      <c r="AD27" s="844"/>
      <c r="AE27" s="645"/>
      <c r="AF27" s="645"/>
      <c r="AG27" s="645"/>
      <c r="AH27" s="645"/>
      <c r="AI27" s="645"/>
      <c r="AJ27" s="645"/>
      <c r="AK27" s="645"/>
      <c r="AL27" s="644"/>
      <c r="AM27" s="844"/>
      <c r="AN27" s="644"/>
      <c r="AT27" s="132"/>
      <c r="AU27" s="132"/>
      <c r="AV27" s="132"/>
    </row>
    <row r="28" spans="2:48">
      <c r="B28" s="804" t="s">
        <v>287</v>
      </c>
      <c r="C28" s="804" t="s">
        <v>288</v>
      </c>
      <c r="D28" s="198">
        <v>1</v>
      </c>
      <c r="E28" s="193" t="s">
        <v>289</v>
      </c>
      <c r="F28" s="193" t="s">
        <v>815</v>
      </c>
      <c r="G28" s="11" t="s">
        <v>116</v>
      </c>
      <c r="H28" s="323" t="s">
        <v>117</v>
      </c>
      <c r="I28" s="11" t="s">
        <v>108</v>
      </c>
      <c r="J28" s="11" t="s">
        <v>108</v>
      </c>
      <c r="K28" s="11" t="s">
        <v>108</v>
      </c>
      <c r="L28" s="322" t="s">
        <v>108</v>
      </c>
      <c r="M28" s="322" t="s">
        <v>116</v>
      </c>
      <c r="N28" s="507">
        <v>60</v>
      </c>
      <c r="O28" s="11" t="s">
        <v>116</v>
      </c>
      <c r="P28" s="12" t="s">
        <v>117</v>
      </c>
      <c r="Q28" s="11" t="s">
        <v>108</v>
      </c>
      <c r="R28" s="11" t="s">
        <v>108</v>
      </c>
      <c r="S28" s="11" t="s">
        <v>108</v>
      </c>
      <c r="T28" s="11" t="s">
        <v>108</v>
      </c>
      <c r="U28" s="514" t="s">
        <v>116</v>
      </c>
      <c r="V28" s="507">
        <v>72</v>
      </c>
      <c r="W28" s="11" t="s">
        <v>116</v>
      </c>
      <c r="X28" s="327" t="s">
        <v>117</v>
      </c>
      <c r="Y28" s="327" t="s">
        <v>117</v>
      </c>
      <c r="Z28" s="322" t="s">
        <v>108</v>
      </c>
      <c r="AA28" s="322" t="s">
        <v>108</v>
      </c>
      <c r="AB28" s="11" t="s">
        <v>108</v>
      </c>
      <c r="AC28" s="11" t="s">
        <v>116</v>
      </c>
      <c r="AD28" s="507">
        <v>60</v>
      </c>
      <c r="AE28" s="11" t="s">
        <v>116</v>
      </c>
      <c r="AF28" s="11" t="s">
        <v>116</v>
      </c>
      <c r="AG28" s="12" t="s">
        <v>117</v>
      </c>
      <c r="AH28" s="11" t="s">
        <v>108</v>
      </c>
      <c r="AI28" s="11" t="s">
        <v>108</v>
      </c>
      <c r="AJ28" s="11" t="s">
        <v>108</v>
      </c>
      <c r="AK28" s="322" t="s">
        <v>116</v>
      </c>
      <c r="AL28" s="507">
        <v>72</v>
      </c>
      <c r="AM28" s="500" t="e">
        <f>SUM(#REF!+K28+S28+AA28+AI28)</f>
        <v>#REF!</v>
      </c>
      <c r="AN28" s="501">
        <v>22</v>
      </c>
      <c r="AT28" s="132"/>
      <c r="AU28" s="132"/>
      <c r="AV28" s="132"/>
    </row>
    <row r="29" spans="2:48">
      <c r="B29" s="804"/>
      <c r="C29" s="804"/>
      <c r="D29" s="198">
        <v>2</v>
      </c>
      <c r="E29" s="193" t="s">
        <v>762</v>
      </c>
      <c r="F29" s="193" t="s">
        <v>795</v>
      </c>
      <c r="G29" s="11" t="s">
        <v>108</v>
      </c>
      <c r="H29" s="322" t="s">
        <v>108</v>
      </c>
      <c r="I29" s="517" t="s">
        <v>117</v>
      </c>
      <c r="J29" s="11" t="s">
        <v>116</v>
      </c>
      <c r="K29" s="11" t="s">
        <v>116</v>
      </c>
      <c r="L29" s="11" t="s">
        <v>116</v>
      </c>
      <c r="M29" s="323" t="s">
        <v>117</v>
      </c>
      <c r="N29" s="507">
        <v>72</v>
      </c>
      <c r="O29" s="11" t="s">
        <v>108</v>
      </c>
      <c r="P29" s="11" t="s">
        <v>108</v>
      </c>
      <c r="Q29" s="12" t="s">
        <v>117</v>
      </c>
      <c r="R29" s="11" t="s">
        <v>116</v>
      </c>
      <c r="S29" s="322" t="s">
        <v>116</v>
      </c>
      <c r="T29" s="322" t="s">
        <v>116</v>
      </c>
      <c r="U29" s="12" t="s">
        <v>117</v>
      </c>
      <c r="V29" s="507">
        <v>72</v>
      </c>
      <c r="W29" s="11" t="s">
        <v>108</v>
      </c>
      <c r="X29" s="11" t="s">
        <v>108</v>
      </c>
      <c r="Y29" s="11" t="s">
        <v>108</v>
      </c>
      <c r="Z29" s="11" t="s">
        <v>116</v>
      </c>
      <c r="AA29" s="322" t="s">
        <v>116</v>
      </c>
      <c r="AB29" s="322" t="s">
        <v>116</v>
      </c>
      <c r="AC29" s="12" t="s">
        <v>117</v>
      </c>
      <c r="AD29" s="507">
        <v>72</v>
      </c>
      <c r="AE29" s="11" t="s">
        <v>108</v>
      </c>
      <c r="AF29" s="11" t="s">
        <v>108</v>
      </c>
      <c r="AG29" s="11" t="s">
        <v>108</v>
      </c>
      <c r="AH29" s="11" t="s">
        <v>116</v>
      </c>
      <c r="AI29" s="322" t="s">
        <v>116</v>
      </c>
      <c r="AJ29" s="322" t="s">
        <v>116</v>
      </c>
      <c r="AK29" s="12" t="s">
        <v>117</v>
      </c>
      <c r="AL29" s="507">
        <v>72</v>
      </c>
      <c r="AM29" s="500" t="e">
        <f>(SUM(#REF!+K29+S29+AA29+AI29))</f>
        <v>#REF!</v>
      </c>
      <c r="AN29" s="501">
        <v>22</v>
      </c>
      <c r="AT29" s="132"/>
      <c r="AU29" s="132"/>
      <c r="AV29" s="132"/>
    </row>
    <row r="30" spans="2:48">
      <c r="B30" s="353"/>
      <c r="C30" s="353"/>
      <c r="V30" s="500"/>
      <c r="AM30" s="500"/>
      <c r="AN30" s="353"/>
      <c r="AT30" s="132"/>
      <c r="AU30" s="132"/>
      <c r="AV30" s="132"/>
    </row>
    <row r="31" spans="2:48">
      <c r="B31" s="353"/>
      <c r="C31" s="353"/>
      <c r="D31" s="218" t="s">
        <v>132</v>
      </c>
      <c r="E31" s="218" t="s">
        <v>133</v>
      </c>
      <c r="F31" s="218" t="s">
        <v>101</v>
      </c>
      <c r="AM31" s="500"/>
      <c r="AN31" s="353"/>
      <c r="AT31" s="132"/>
      <c r="AU31" s="132"/>
      <c r="AV31" s="132"/>
    </row>
    <row r="32" spans="2:48">
      <c r="B32" s="353"/>
      <c r="C32" s="353"/>
      <c r="D32" s="319" t="s">
        <v>108</v>
      </c>
      <c r="E32" s="319" t="s">
        <v>146</v>
      </c>
      <c r="F32" s="319" t="s">
        <v>285</v>
      </c>
      <c r="AM32" s="500"/>
      <c r="AN32" s="353"/>
      <c r="AT32" s="132"/>
      <c r="AU32" s="132"/>
      <c r="AV32" s="132"/>
    </row>
    <row r="33" spans="2:48">
      <c r="B33" s="353"/>
      <c r="C33" s="353"/>
      <c r="D33" s="319" t="s">
        <v>116</v>
      </c>
      <c r="E33" s="319" t="s">
        <v>163</v>
      </c>
      <c r="F33" s="319" t="s">
        <v>285</v>
      </c>
      <c r="AM33" s="500"/>
      <c r="AN33" s="353"/>
      <c r="AT33" s="132"/>
      <c r="AU33" s="132"/>
      <c r="AV33" s="132"/>
    </row>
    <row r="34" spans="2:48">
      <c r="B34" s="353"/>
      <c r="C34" s="353"/>
      <c r="D34" s="319" t="s">
        <v>117</v>
      </c>
      <c r="E34" s="319" t="s">
        <v>119</v>
      </c>
      <c r="F34" s="322" t="s">
        <v>285</v>
      </c>
      <c r="AM34" s="500"/>
      <c r="AN34" s="353"/>
      <c r="AT34" s="132"/>
      <c r="AU34" s="132"/>
      <c r="AV34" s="132"/>
    </row>
    <row r="35" spans="2:48">
      <c r="B35" s="353"/>
      <c r="C35" s="353"/>
      <c r="AM35" s="500"/>
      <c r="AN35" s="353"/>
      <c r="AT35" s="132"/>
      <c r="AU35" s="132"/>
      <c r="AV35" s="132"/>
    </row>
    <row r="36" spans="2:48" ht="15" customHeight="1">
      <c r="B36" s="676" t="s">
        <v>126</v>
      </c>
      <c r="C36" s="676" t="s">
        <v>127</v>
      </c>
      <c r="D36" s="196" t="s">
        <v>101</v>
      </c>
      <c r="E36" s="196" t="s">
        <v>290</v>
      </c>
      <c r="F36" s="196" t="s">
        <v>102</v>
      </c>
      <c r="G36" s="229" t="s">
        <v>103</v>
      </c>
      <c r="H36" s="229" t="s">
        <v>104</v>
      </c>
      <c r="I36" s="229" t="s">
        <v>104</v>
      </c>
      <c r="J36" s="229" t="s">
        <v>105</v>
      </c>
      <c r="K36" s="229" t="s">
        <v>106</v>
      </c>
      <c r="L36" s="229" t="s">
        <v>107</v>
      </c>
      <c r="M36" s="229" t="s">
        <v>108</v>
      </c>
      <c r="N36" s="844" t="s">
        <v>109</v>
      </c>
      <c r="O36" s="230" t="s">
        <v>103</v>
      </c>
      <c r="P36" s="230" t="s">
        <v>104</v>
      </c>
      <c r="Q36" s="230" t="s">
        <v>104</v>
      </c>
      <c r="R36" s="230" t="s">
        <v>105</v>
      </c>
      <c r="S36" s="230" t="s">
        <v>106</v>
      </c>
      <c r="T36" s="230" t="s">
        <v>107</v>
      </c>
      <c r="U36" s="230" t="s">
        <v>108</v>
      </c>
      <c r="V36" s="844" t="s">
        <v>109</v>
      </c>
      <c r="W36" s="231" t="s">
        <v>103</v>
      </c>
      <c r="X36" s="231" t="s">
        <v>104</v>
      </c>
      <c r="Y36" s="231" t="s">
        <v>104</v>
      </c>
      <c r="Z36" s="231" t="s">
        <v>105</v>
      </c>
      <c r="AA36" s="231" t="s">
        <v>106</v>
      </c>
      <c r="AB36" s="231" t="s">
        <v>107</v>
      </c>
      <c r="AC36" s="231" t="s">
        <v>108</v>
      </c>
      <c r="AD36" s="844" t="s">
        <v>109</v>
      </c>
      <c r="AE36" s="227" t="s">
        <v>103</v>
      </c>
      <c r="AF36" s="227" t="s">
        <v>104</v>
      </c>
      <c r="AG36" s="227" t="s">
        <v>104</v>
      </c>
      <c r="AH36" s="228" t="s">
        <v>105</v>
      </c>
      <c r="AI36" s="228" t="s">
        <v>106</v>
      </c>
      <c r="AJ36" s="228" t="s">
        <v>107</v>
      </c>
      <c r="AK36" s="228" t="s">
        <v>108</v>
      </c>
      <c r="AL36" s="644" t="s">
        <v>109</v>
      </c>
      <c r="AM36" s="844" t="s">
        <v>129</v>
      </c>
      <c r="AN36" s="644" t="s">
        <v>111</v>
      </c>
      <c r="AT36" s="132"/>
      <c r="AU36" s="132"/>
      <c r="AV36" s="132"/>
    </row>
    <row r="37" spans="2:48">
      <c r="B37" s="676"/>
      <c r="C37" s="676"/>
      <c r="D37" s="196" t="s">
        <v>112</v>
      </c>
      <c r="E37" s="196" t="s">
        <v>845</v>
      </c>
      <c r="F37" s="196" t="s">
        <v>113</v>
      </c>
      <c r="G37" s="645">
        <v>7</v>
      </c>
      <c r="H37" s="645">
        <v>8</v>
      </c>
      <c r="I37" s="645">
        <v>9</v>
      </c>
      <c r="J37" s="645">
        <v>10</v>
      </c>
      <c r="K37" s="645">
        <v>11</v>
      </c>
      <c r="L37" s="645">
        <v>12</v>
      </c>
      <c r="M37" s="645">
        <v>13</v>
      </c>
      <c r="N37" s="844"/>
      <c r="O37" s="645">
        <v>14</v>
      </c>
      <c r="P37" s="645">
        <v>15</v>
      </c>
      <c r="Q37" s="645">
        <v>16</v>
      </c>
      <c r="R37" s="645">
        <v>17</v>
      </c>
      <c r="S37" s="645">
        <v>18</v>
      </c>
      <c r="T37" s="645">
        <v>19</v>
      </c>
      <c r="U37" s="645">
        <v>20</v>
      </c>
      <c r="V37" s="844"/>
      <c r="W37" s="645">
        <v>21</v>
      </c>
      <c r="X37" s="645">
        <v>22</v>
      </c>
      <c r="Y37" s="645">
        <v>23</v>
      </c>
      <c r="Z37" s="645">
        <v>24</v>
      </c>
      <c r="AA37" s="645">
        <v>25</v>
      </c>
      <c r="AB37" s="645">
        <v>26</v>
      </c>
      <c r="AC37" s="645">
        <v>27</v>
      </c>
      <c r="AD37" s="844"/>
      <c r="AE37" s="645">
        <v>28</v>
      </c>
      <c r="AF37" s="645">
        <v>29</v>
      </c>
      <c r="AG37" s="645">
        <v>30</v>
      </c>
      <c r="AH37" s="645">
        <v>1</v>
      </c>
      <c r="AI37" s="645">
        <v>2</v>
      </c>
      <c r="AJ37" s="645">
        <v>3</v>
      </c>
      <c r="AK37" s="645">
        <v>4</v>
      </c>
      <c r="AL37" s="644"/>
      <c r="AM37" s="844"/>
      <c r="AN37" s="644"/>
      <c r="AT37" s="132"/>
      <c r="AU37" s="132"/>
      <c r="AV37" s="132"/>
    </row>
    <row r="38" spans="2:48">
      <c r="B38" s="676"/>
      <c r="C38" s="676"/>
      <c r="D38" s="325" t="s">
        <v>42</v>
      </c>
      <c r="E38" s="218" t="s">
        <v>114</v>
      </c>
      <c r="F38" s="218" t="s">
        <v>115</v>
      </c>
      <c r="G38" s="645"/>
      <c r="H38" s="645"/>
      <c r="I38" s="645"/>
      <c r="J38" s="645"/>
      <c r="K38" s="645"/>
      <c r="L38" s="645"/>
      <c r="M38" s="645"/>
      <c r="N38" s="844"/>
      <c r="O38" s="645"/>
      <c r="P38" s="645"/>
      <c r="Q38" s="645"/>
      <c r="R38" s="645"/>
      <c r="S38" s="645"/>
      <c r="T38" s="645"/>
      <c r="U38" s="645"/>
      <c r="V38" s="844"/>
      <c r="W38" s="645"/>
      <c r="X38" s="645"/>
      <c r="Y38" s="645"/>
      <c r="Z38" s="645"/>
      <c r="AA38" s="645"/>
      <c r="AB38" s="645"/>
      <c r="AC38" s="645"/>
      <c r="AD38" s="844"/>
      <c r="AE38" s="645"/>
      <c r="AF38" s="645"/>
      <c r="AG38" s="645"/>
      <c r="AH38" s="645"/>
      <c r="AI38" s="645"/>
      <c r="AJ38" s="645"/>
      <c r="AK38" s="645"/>
      <c r="AL38" s="644"/>
      <c r="AM38" s="844"/>
      <c r="AN38" s="644"/>
      <c r="AT38" s="132"/>
      <c r="AU38" s="132"/>
      <c r="AV38" s="132"/>
    </row>
    <row r="39" spans="2:48">
      <c r="B39" s="671" t="s">
        <v>301</v>
      </c>
      <c r="C39" s="851" t="s">
        <v>291</v>
      </c>
      <c r="D39" s="198">
        <v>1</v>
      </c>
      <c r="E39" s="193" t="s">
        <v>555</v>
      </c>
      <c r="F39" s="193" t="s">
        <v>556</v>
      </c>
      <c r="G39" s="11" t="s">
        <v>116</v>
      </c>
      <c r="H39" s="322" t="s">
        <v>116</v>
      </c>
      <c r="I39" s="11" t="s">
        <v>116</v>
      </c>
      <c r="J39" s="11" t="s">
        <v>116</v>
      </c>
      <c r="K39" s="12" t="s">
        <v>117</v>
      </c>
      <c r="L39" s="11" t="s">
        <v>108</v>
      </c>
      <c r="M39" s="322" t="s">
        <v>108</v>
      </c>
      <c r="N39" s="507">
        <v>72</v>
      </c>
      <c r="O39" s="11" t="s">
        <v>116</v>
      </c>
      <c r="P39" s="322" t="s">
        <v>116</v>
      </c>
      <c r="Q39" s="11" t="s">
        <v>116</v>
      </c>
      <c r="R39" s="11" t="s">
        <v>116</v>
      </c>
      <c r="S39" s="12" t="s">
        <v>117</v>
      </c>
      <c r="T39" s="605" t="s">
        <v>117</v>
      </c>
      <c r="U39" s="322" t="s">
        <v>108</v>
      </c>
      <c r="V39" s="507">
        <v>60</v>
      </c>
      <c r="W39" s="11" t="s">
        <v>116</v>
      </c>
      <c r="X39" s="11" t="s">
        <v>116</v>
      </c>
      <c r="Y39" s="11" t="s">
        <v>116</v>
      </c>
      <c r="Z39" s="322" t="s">
        <v>116</v>
      </c>
      <c r="AA39" s="323" t="s">
        <v>117</v>
      </c>
      <c r="AB39" s="322" t="s">
        <v>108</v>
      </c>
      <c r="AC39" s="11" t="s">
        <v>108</v>
      </c>
      <c r="AD39" s="507">
        <v>60</v>
      </c>
      <c r="AE39" s="11" t="s">
        <v>116</v>
      </c>
      <c r="AF39" s="322" t="s">
        <v>116</v>
      </c>
      <c r="AG39" s="11" t="s">
        <v>116</v>
      </c>
      <c r="AH39" s="12" t="s">
        <v>117</v>
      </c>
      <c r="AI39" s="12" t="s">
        <v>117</v>
      </c>
      <c r="AJ39" s="11" t="s">
        <v>108</v>
      </c>
      <c r="AK39" s="322" t="s">
        <v>108</v>
      </c>
      <c r="AL39" s="507">
        <v>72</v>
      </c>
      <c r="AM39" s="501">
        <f>SUM(N39+V39+AD39+AL39)</f>
        <v>264</v>
      </c>
      <c r="AN39" s="501">
        <v>22</v>
      </c>
      <c r="AT39" s="132"/>
      <c r="AU39" s="132"/>
      <c r="AV39" s="132"/>
    </row>
    <row r="40" spans="2:48">
      <c r="B40" s="671"/>
      <c r="C40" s="851"/>
      <c r="D40" s="198">
        <v>2</v>
      </c>
      <c r="E40" s="193" t="s">
        <v>557</v>
      </c>
      <c r="F40" s="193" t="s">
        <v>558</v>
      </c>
      <c r="G40" s="327" t="s">
        <v>117</v>
      </c>
      <c r="H40" s="11" t="s">
        <v>108</v>
      </c>
      <c r="I40" s="11" t="s">
        <v>108</v>
      </c>
      <c r="J40" s="322" t="s">
        <v>108</v>
      </c>
      <c r="K40" s="322" t="s">
        <v>108</v>
      </c>
      <c r="L40" s="11" t="s">
        <v>116</v>
      </c>
      <c r="M40" s="11" t="s">
        <v>116</v>
      </c>
      <c r="N40" s="507">
        <v>72</v>
      </c>
      <c r="O40" s="327" t="s">
        <v>117</v>
      </c>
      <c r="P40" s="11" t="s">
        <v>108</v>
      </c>
      <c r="Q40" s="11" t="s">
        <v>108</v>
      </c>
      <c r="R40" s="11" t="s">
        <v>108</v>
      </c>
      <c r="S40" s="322" t="s">
        <v>108</v>
      </c>
      <c r="T40" s="322" t="s">
        <v>108</v>
      </c>
      <c r="U40" s="322" t="s">
        <v>116</v>
      </c>
      <c r="V40" s="507">
        <v>72</v>
      </c>
      <c r="W40" s="605" t="s">
        <v>117</v>
      </c>
      <c r="X40" s="11" t="s">
        <v>116</v>
      </c>
      <c r="Y40" s="11" t="s">
        <v>116</v>
      </c>
      <c r="Z40" s="607" t="s">
        <v>117</v>
      </c>
      <c r="AA40" s="514" t="s">
        <v>108</v>
      </c>
      <c r="AB40" s="11" t="s">
        <v>108</v>
      </c>
      <c r="AC40" s="11" t="s">
        <v>108</v>
      </c>
      <c r="AD40" s="507">
        <v>72</v>
      </c>
      <c r="AE40" s="11" t="s">
        <v>116</v>
      </c>
      <c r="AF40" s="11" t="s">
        <v>116</v>
      </c>
      <c r="AG40" s="605" t="s">
        <v>117</v>
      </c>
      <c r="AH40" s="11" t="s">
        <v>108</v>
      </c>
      <c r="AI40" s="322" t="s">
        <v>108</v>
      </c>
      <c r="AJ40" s="322" t="s">
        <v>108</v>
      </c>
      <c r="AK40" s="322" t="s">
        <v>116</v>
      </c>
      <c r="AL40" s="507">
        <v>60</v>
      </c>
      <c r="AM40" s="501">
        <f t="shared" ref="AM40:AM46" si="0">SUM(N40+V40+AD40+AL40)</f>
        <v>276</v>
      </c>
      <c r="AN40" s="501">
        <v>22</v>
      </c>
      <c r="AT40" s="132"/>
      <c r="AU40" s="132"/>
      <c r="AV40" s="132"/>
    </row>
    <row r="41" spans="2:48">
      <c r="B41" s="671"/>
      <c r="C41" s="851"/>
      <c r="D41" s="198">
        <v>3</v>
      </c>
      <c r="E41" s="193" t="s">
        <v>559</v>
      </c>
      <c r="F41" s="193" t="s">
        <v>560</v>
      </c>
      <c r="G41" s="12" t="s">
        <v>117</v>
      </c>
      <c r="H41" s="514" t="s">
        <v>108</v>
      </c>
      <c r="I41" s="11" t="s">
        <v>108</v>
      </c>
      <c r="J41" s="11" t="s">
        <v>108</v>
      </c>
      <c r="K41" s="11" t="s">
        <v>116</v>
      </c>
      <c r="L41" s="11" t="s">
        <v>116</v>
      </c>
      <c r="M41" s="323" t="s">
        <v>117</v>
      </c>
      <c r="N41" s="507">
        <v>60</v>
      </c>
      <c r="O41" s="12" t="s">
        <v>117</v>
      </c>
      <c r="P41" s="11" t="s">
        <v>108</v>
      </c>
      <c r="Q41" s="11" t="s">
        <v>108</v>
      </c>
      <c r="R41" s="11" t="s">
        <v>108</v>
      </c>
      <c r="S41" s="322" t="s">
        <v>116</v>
      </c>
      <c r="T41" s="322" t="s">
        <v>116</v>
      </c>
      <c r="U41" s="322" t="s">
        <v>116</v>
      </c>
      <c r="V41" s="507">
        <v>72</v>
      </c>
      <c r="W41" s="12" t="s">
        <v>117</v>
      </c>
      <c r="X41" s="11" t="s">
        <v>108</v>
      </c>
      <c r="Y41" s="11" t="s">
        <v>108</v>
      </c>
      <c r="Z41" s="11" t="s">
        <v>108</v>
      </c>
      <c r="AA41" s="11" t="s">
        <v>116</v>
      </c>
      <c r="AB41" s="322" t="s">
        <v>116</v>
      </c>
      <c r="AC41" s="322" t="s">
        <v>116</v>
      </c>
      <c r="AD41" s="507">
        <v>72</v>
      </c>
      <c r="AE41" s="12" t="s">
        <v>117</v>
      </c>
      <c r="AF41" s="11" t="s">
        <v>108</v>
      </c>
      <c r="AG41" s="11" t="s">
        <v>108</v>
      </c>
      <c r="AH41" s="11" t="s">
        <v>116</v>
      </c>
      <c r="AI41" s="322" t="s">
        <v>116</v>
      </c>
      <c r="AJ41" s="322" t="s">
        <v>116</v>
      </c>
      <c r="AK41" s="322" t="s">
        <v>116</v>
      </c>
      <c r="AL41" s="507">
        <v>72</v>
      </c>
      <c r="AM41" s="501">
        <f t="shared" si="0"/>
        <v>276</v>
      </c>
      <c r="AN41" s="501">
        <v>22</v>
      </c>
      <c r="AT41" s="132"/>
      <c r="AU41" s="132"/>
      <c r="AV41" s="132"/>
    </row>
    <row r="42" spans="2:48">
      <c r="B42" s="671"/>
      <c r="C42" s="851" t="s">
        <v>292</v>
      </c>
      <c r="D42" s="198">
        <v>4</v>
      </c>
      <c r="E42" s="193" t="s">
        <v>561</v>
      </c>
      <c r="F42" s="193" t="s">
        <v>562</v>
      </c>
      <c r="G42" s="11" t="s">
        <v>108</v>
      </c>
      <c r="H42" s="11" t="s">
        <v>108</v>
      </c>
      <c r="I42" s="11" t="s">
        <v>108</v>
      </c>
      <c r="J42" s="11" t="s">
        <v>116</v>
      </c>
      <c r="K42" s="323" t="s">
        <v>117</v>
      </c>
      <c r="L42" s="11" t="s">
        <v>108</v>
      </c>
      <c r="M42" s="11" t="s">
        <v>108</v>
      </c>
      <c r="N42" s="507">
        <v>72</v>
      </c>
      <c r="O42" s="11" t="s">
        <v>108</v>
      </c>
      <c r="P42" s="11" t="s">
        <v>116</v>
      </c>
      <c r="Q42" s="11" t="s">
        <v>116</v>
      </c>
      <c r="R42" s="322" t="s">
        <v>116</v>
      </c>
      <c r="S42" s="607" t="s">
        <v>117</v>
      </c>
      <c r="T42" s="11" t="s">
        <v>116</v>
      </c>
      <c r="U42" s="12" t="s">
        <v>117</v>
      </c>
      <c r="V42" s="507">
        <v>60</v>
      </c>
      <c r="W42" s="11" t="s">
        <v>108</v>
      </c>
      <c r="X42" s="11" t="s">
        <v>108</v>
      </c>
      <c r="Y42" s="11" t="s">
        <v>108</v>
      </c>
      <c r="Z42" s="11" t="s">
        <v>116</v>
      </c>
      <c r="AA42" s="323" t="s">
        <v>117</v>
      </c>
      <c r="AB42" s="323" t="s">
        <v>117</v>
      </c>
      <c r="AC42" s="11" t="s">
        <v>108</v>
      </c>
      <c r="AD42" s="507">
        <v>60</v>
      </c>
      <c r="AE42" s="11" t="s">
        <v>108</v>
      </c>
      <c r="AF42" s="11" t="s">
        <v>108</v>
      </c>
      <c r="AG42" s="11" t="s">
        <v>116</v>
      </c>
      <c r="AH42" s="322" t="s">
        <v>116</v>
      </c>
      <c r="AI42" s="322" t="s">
        <v>116</v>
      </c>
      <c r="AJ42" s="12" t="s">
        <v>117</v>
      </c>
      <c r="AK42" s="11" t="s">
        <v>108</v>
      </c>
      <c r="AL42" s="507">
        <v>60</v>
      </c>
      <c r="AM42" s="501">
        <f t="shared" si="0"/>
        <v>252</v>
      </c>
      <c r="AN42" s="501">
        <v>22</v>
      </c>
      <c r="AT42" s="132"/>
      <c r="AU42" s="132"/>
      <c r="AV42" s="132"/>
    </row>
    <row r="43" spans="2:48">
      <c r="B43" s="671"/>
      <c r="C43" s="851"/>
      <c r="D43" s="198">
        <v>5</v>
      </c>
      <c r="E43" s="193" t="s">
        <v>563</v>
      </c>
      <c r="F43" s="193" t="s">
        <v>564</v>
      </c>
      <c r="G43" s="11" t="s">
        <v>116</v>
      </c>
      <c r="H43" s="323" t="s">
        <v>117</v>
      </c>
      <c r="I43" s="323" t="s">
        <v>117</v>
      </c>
      <c r="J43" s="11" t="s">
        <v>108</v>
      </c>
      <c r="K43" s="11" t="s">
        <v>108</v>
      </c>
      <c r="L43" s="322" t="s">
        <v>108</v>
      </c>
      <c r="M43" s="322" t="s">
        <v>116</v>
      </c>
      <c r="N43" s="507">
        <v>60</v>
      </c>
      <c r="O43" s="11" t="s">
        <v>116</v>
      </c>
      <c r="P43" s="323" t="s">
        <v>117</v>
      </c>
      <c r="Q43" s="11" t="s">
        <v>108</v>
      </c>
      <c r="R43" s="11" t="s">
        <v>108</v>
      </c>
      <c r="S43" s="11" t="s">
        <v>108</v>
      </c>
      <c r="T43" s="322" t="s">
        <v>108</v>
      </c>
      <c r="U43" s="322" t="s">
        <v>108</v>
      </c>
      <c r="V43" s="507">
        <v>72</v>
      </c>
      <c r="W43" s="11" t="s">
        <v>116</v>
      </c>
      <c r="X43" s="328" t="s">
        <v>117</v>
      </c>
      <c r="Y43" s="11" t="s">
        <v>108</v>
      </c>
      <c r="Z43" s="514" t="s">
        <v>108</v>
      </c>
      <c r="AA43" s="322" t="s">
        <v>108</v>
      </c>
      <c r="AB43" s="514" t="s">
        <v>116</v>
      </c>
      <c r="AC43" s="11" t="s">
        <v>116</v>
      </c>
      <c r="AD43" s="507">
        <v>72</v>
      </c>
      <c r="AE43" s="607" t="s">
        <v>117</v>
      </c>
      <c r="AF43" s="607" t="s">
        <v>117</v>
      </c>
      <c r="AG43" s="514" t="s">
        <v>108</v>
      </c>
      <c r="AH43" s="11" t="s">
        <v>108</v>
      </c>
      <c r="AI43" s="11" t="s">
        <v>108</v>
      </c>
      <c r="AJ43" s="322" t="s">
        <v>108</v>
      </c>
      <c r="AK43" s="322" t="s">
        <v>108</v>
      </c>
      <c r="AL43" s="507">
        <v>72</v>
      </c>
      <c r="AM43" s="501">
        <f t="shared" si="0"/>
        <v>276</v>
      </c>
      <c r="AN43" s="501">
        <v>22</v>
      </c>
      <c r="AT43" s="132"/>
      <c r="AU43" s="132"/>
      <c r="AV43" s="132"/>
    </row>
    <row r="44" spans="2:48">
      <c r="B44" s="671"/>
      <c r="C44" s="804" t="s">
        <v>290</v>
      </c>
      <c r="D44" s="198">
        <v>6</v>
      </c>
      <c r="E44" s="193" t="s">
        <v>723</v>
      </c>
      <c r="F44" s="193" t="s">
        <v>724</v>
      </c>
      <c r="G44" s="11" t="s">
        <v>108</v>
      </c>
      <c r="H44" s="11" t="s">
        <v>116</v>
      </c>
      <c r="I44" s="11" t="s">
        <v>116</v>
      </c>
      <c r="J44" s="11" t="s">
        <v>116</v>
      </c>
      <c r="K44" s="11" t="s">
        <v>116</v>
      </c>
      <c r="L44" s="323" t="s">
        <v>117</v>
      </c>
      <c r="M44" s="323" t="s">
        <v>117</v>
      </c>
      <c r="N44" s="507">
        <v>60</v>
      </c>
      <c r="O44" s="11" t="s">
        <v>108</v>
      </c>
      <c r="P44" s="11" t="s">
        <v>108</v>
      </c>
      <c r="Q44" s="11" t="s">
        <v>116</v>
      </c>
      <c r="R44" s="322" t="s">
        <v>116</v>
      </c>
      <c r="S44" s="322" t="s">
        <v>116</v>
      </c>
      <c r="T44" s="322" t="s">
        <v>116</v>
      </c>
      <c r="U44" s="12" t="s">
        <v>117</v>
      </c>
      <c r="V44" s="507">
        <v>72</v>
      </c>
      <c r="W44" s="11" t="s">
        <v>108</v>
      </c>
      <c r="X44" s="11" t="s">
        <v>108</v>
      </c>
      <c r="Y44" s="11" t="s">
        <v>116</v>
      </c>
      <c r="Z44" s="322" t="s">
        <v>116</v>
      </c>
      <c r="AA44" s="322" t="s">
        <v>116</v>
      </c>
      <c r="AB44" s="11" t="s">
        <v>116</v>
      </c>
      <c r="AC44" s="12" t="s">
        <v>117</v>
      </c>
      <c r="AD44" s="507">
        <v>72</v>
      </c>
      <c r="AE44" s="11" t="s">
        <v>108</v>
      </c>
      <c r="AF44" s="11" t="s">
        <v>108</v>
      </c>
      <c r="AG44" s="11" t="s">
        <v>108</v>
      </c>
      <c r="AH44" s="322" t="s">
        <v>116</v>
      </c>
      <c r="AI44" s="322" t="s">
        <v>116</v>
      </c>
      <c r="AJ44" s="322" t="s">
        <v>116</v>
      </c>
      <c r="AK44" s="12" t="s">
        <v>117</v>
      </c>
      <c r="AL44" s="507">
        <v>72</v>
      </c>
      <c r="AM44" s="501">
        <f t="shared" si="0"/>
        <v>276</v>
      </c>
      <c r="AN44" s="501">
        <v>22</v>
      </c>
      <c r="AT44" s="132"/>
      <c r="AU44" s="132"/>
      <c r="AV44" s="132"/>
    </row>
    <row r="45" spans="2:48">
      <c r="B45" s="671"/>
      <c r="C45" s="804"/>
      <c r="D45" s="198">
        <v>7</v>
      </c>
      <c r="E45" s="193" t="s">
        <v>565</v>
      </c>
      <c r="F45" s="193" t="s">
        <v>566</v>
      </c>
      <c r="G45" s="11" t="s">
        <v>116</v>
      </c>
      <c r="H45" s="11" t="s">
        <v>116</v>
      </c>
      <c r="I45" s="12" t="s">
        <v>117</v>
      </c>
      <c r="J45" s="12" t="s">
        <v>117</v>
      </c>
      <c r="K45" s="11" t="s">
        <v>108</v>
      </c>
      <c r="L45" s="322" t="s">
        <v>116</v>
      </c>
      <c r="M45" s="322" t="s">
        <v>116</v>
      </c>
      <c r="N45" s="507">
        <v>60</v>
      </c>
      <c r="O45" s="11" t="s">
        <v>116</v>
      </c>
      <c r="P45" s="11" t="s">
        <v>116</v>
      </c>
      <c r="Q45" s="12" t="s">
        <v>117</v>
      </c>
      <c r="R45" s="12" t="s">
        <v>117</v>
      </c>
      <c r="S45" s="322" t="s">
        <v>108</v>
      </c>
      <c r="T45" s="11" t="s">
        <v>108</v>
      </c>
      <c r="U45" s="11" t="s">
        <v>116</v>
      </c>
      <c r="V45" s="507">
        <v>60</v>
      </c>
      <c r="W45" s="11" t="s">
        <v>116</v>
      </c>
      <c r="X45" s="11" t="s">
        <v>116</v>
      </c>
      <c r="Y45" s="12" t="s">
        <v>117</v>
      </c>
      <c r="Z45" s="11" t="s">
        <v>108</v>
      </c>
      <c r="AA45" s="11" t="s">
        <v>108</v>
      </c>
      <c r="AB45" s="11" t="s">
        <v>108</v>
      </c>
      <c r="AC45" s="11" t="s">
        <v>116</v>
      </c>
      <c r="AD45" s="507">
        <v>60</v>
      </c>
      <c r="AE45" s="11" t="s">
        <v>116</v>
      </c>
      <c r="AF45" s="11" t="s">
        <v>116</v>
      </c>
      <c r="AG45" s="12" t="s">
        <v>117</v>
      </c>
      <c r="AH45" s="11" t="s">
        <v>108</v>
      </c>
      <c r="AI45" s="322" t="s">
        <v>108</v>
      </c>
      <c r="AJ45" s="11" t="s">
        <v>116</v>
      </c>
      <c r="AK45" s="11" t="s">
        <v>116</v>
      </c>
      <c r="AL45" s="507">
        <v>72</v>
      </c>
      <c r="AM45" s="501">
        <f t="shared" si="0"/>
        <v>252</v>
      </c>
      <c r="AN45" s="501">
        <v>22</v>
      </c>
      <c r="AT45" s="132"/>
      <c r="AU45" s="132"/>
      <c r="AV45" s="132"/>
    </row>
    <row r="46" spans="2:48">
      <c r="B46" s="671"/>
      <c r="C46" s="804"/>
      <c r="D46" s="198">
        <v>8</v>
      </c>
      <c r="E46" s="195" t="s">
        <v>763</v>
      </c>
      <c r="F46" s="195" t="s">
        <v>764</v>
      </c>
      <c r="G46" s="11" t="s">
        <v>108</v>
      </c>
      <c r="H46" s="362" t="s">
        <v>108</v>
      </c>
      <c r="I46" s="322" t="s">
        <v>116</v>
      </c>
      <c r="J46" s="363" t="s">
        <v>116</v>
      </c>
      <c r="K46" s="322" t="s">
        <v>116</v>
      </c>
      <c r="L46" s="323" t="s">
        <v>117</v>
      </c>
      <c r="M46" s="11" t="s">
        <v>108</v>
      </c>
      <c r="N46" s="507">
        <v>72</v>
      </c>
      <c r="O46" s="11" t="s">
        <v>108</v>
      </c>
      <c r="P46" s="362" t="s">
        <v>108</v>
      </c>
      <c r="Q46" s="363" t="s">
        <v>116</v>
      </c>
      <c r="R46" s="363" t="s">
        <v>116</v>
      </c>
      <c r="S46" s="322" t="s">
        <v>116</v>
      </c>
      <c r="T46" s="12" t="s">
        <v>117</v>
      </c>
      <c r="U46" s="11" t="s">
        <v>108</v>
      </c>
      <c r="V46" s="507">
        <v>72</v>
      </c>
      <c r="W46" s="11" t="s">
        <v>108</v>
      </c>
      <c r="X46" s="362" t="s">
        <v>108</v>
      </c>
      <c r="Y46" s="362" t="s">
        <v>108</v>
      </c>
      <c r="Z46" s="363" t="s">
        <v>116</v>
      </c>
      <c r="AA46" s="322" t="s">
        <v>116</v>
      </c>
      <c r="AB46" s="323" t="s">
        <v>117</v>
      </c>
      <c r="AC46" s="323" t="s">
        <v>117</v>
      </c>
      <c r="AD46" s="507">
        <v>72</v>
      </c>
      <c r="AE46" s="11" t="s">
        <v>108</v>
      </c>
      <c r="AF46" s="362" t="s">
        <v>108</v>
      </c>
      <c r="AG46" s="322" t="s">
        <v>116</v>
      </c>
      <c r="AH46" s="363" t="s">
        <v>116</v>
      </c>
      <c r="AI46" s="363" t="s">
        <v>116</v>
      </c>
      <c r="AJ46" s="12" t="s">
        <v>117</v>
      </c>
      <c r="AK46" s="605" t="s">
        <v>117</v>
      </c>
      <c r="AL46" s="507">
        <v>60</v>
      </c>
      <c r="AM46" s="501">
        <f t="shared" si="0"/>
        <v>276</v>
      </c>
      <c r="AN46" s="501">
        <v>22</v>
      </c>
      <c r="AT46" s="132"/>
      <c r="AU46" s="132"/>
      <c r="AV46" s="132"/>
    </row>
    <row r="47" spans="2:48">
      <c r="B47" s="353"/>
      <c r="C47" s="353"/>
      <c r="AM47" s="500"/>
      <c r="AN47" s="353"/>
      <c r="AT47" s="132"/>
      <c r="AU47" s="132"/>
      <c r="AV47" s="132"/>
    </row>
    <row r="48" spans="2:48" ht="15" customHeight="1">
      <c r="B48" s="676" t="s">
        <v>126</v>
      </c>
      <c r="C48" s="676" t="s">
        <v>127</v>
      </c>
      <c r="D48" s="196" t="s">
        <v>101</v>
      </c>
      <c r="E48" s="196" t="s">
        <v>293</v>
      </c>
      <c r="F48" s="196" t="s">
        <v>102</v>
      </c>
      <c r="G48" s="229" t="s">
        <v>103</v>
      </c>
      <c r="H48" s="229" t="s">
        <v>104</v>
      </c>
      <c r="I48" s="229" t="s">
        <v>104</v>
      </c>
      <c r="J48" s="229" t="s">
        <v>105</v>
      </c>
      <c r="K48" s="229" t="s">
        <v>106</v>
      </c>
      <c r="L48" s="229" t="s">
        <v>107</v>
      </c>
      <c r="M48" s="229" t="s">
        <v>108</v>
      </c>
      <c r="N48" s="844" t="s">
        <v>109</v>
      </c>
      <c r="O48" s="230" t="s">
        <v>103</v>
      </c>
      <c r="P48" s="230" t="s">
        <v>104</v>
      </c>
      <c r="Q48" s="230" t="s">
        <v>104</v>
      </c>
      <c r="R48" s="230" t="s">
        <v>105</v>
      </c>
      <c r="S48" s="230" t="s">
        <v>106</v>
      </c>
      <c r="T48" s="230" t="s">
        <v>107</v>
      </c>
      <c r="U48" s="230" t="s">
        <v>108</v>
      </c>
      <c r="V48" s="844" t="s">
        <v>109</v>
      </c>
      <c r="W48" s="231" t="s">
        <v>103</v>
      </c>
      <c r="X48" s="231" t="s">
        <v>104</v>
      </c>
      <c r="Y48" s="231" t="s">
        <v>104</v>
      </c>
      <c r="Z48" s="231" t="s">
        <v>105</v>
      </c>
      <c r="AA48" s="231" t="s">
        <v>106</v>
      </c>
      <c r="AB48" s="231" t="s">
        <v>107</v>
      </c>
      <c r="AC48" s="231" t="s">
        <v>108</v>
      </c>
      <c r="AD48" s="844" t="s">
        <v>109</v>
      </c>
      <c r="AE48" s="227" t="s">
        <v>103</v>
      </c>
      <c r="AF48" s="227" t="s">
        <v>104</v>
      </c>
      <c r="AG48" s="227" t="s">
        <v>104</v>
      </c>
      <c r="AH48" s="228" t="s">
        <v>105</v>
      </c>
      <c r="AI48" s="228" t="s">
        <v>106</v>
      </c>
      <c r="AJ48" s="228" t="s">
        <v>107</v>
      </c>
      <c r="AK48" s="228" t="s">
        <v>108</v>
      </c>
      <c r="AL48" s="644" t="s">
        <v>109</v>
      </c>
      <c r="AM48" s="844" t="s">
        <v>129</v>
      </c>
      <c r="AN48" s="644" t="s">
        <v>111</v>
      </c>
      <c r="AT48" s="132"/>
      <c r="AU48" s="132"/>
      <c r="AV48" s="132"/>
    </row>
    <row r="49" spans="2:48">
      <c r="B49" s="676"/>
      <c r="C49" s="676"/>
      <c r="D49" s="196" t="s">
        <v>112</v>
      </c>
      <c r="E49" s="196" t="s">
        <v>845</v>
      </c>
      <c r="F49" s="196" t="s">
        <v>113</v>
      </c>
      <c r="G49" s="645">
        <v>7</v>
      </c>
      <c r="H49" s="645">
        <v>8</v>
      </c>
      <c r="I49" s="645">
        <v>9</v>
      </c>
      <c r="J49" s="645">
        <v>10</v>
      </c>
      <c r="K49" s="645">
        <v>11</v>
      </c>
      <c r="L49" s="645">
        <v>12</v>
      </c>
      <c r="M49" s="645">
        <v>13</v>
      </c>
      <c r="N49" s="844"/>
      <c r="O49" s="645">
        <v>14</v>
      </c>
      <c r="P49" s="645">
        <v>15</v>
      </c>
      <c r="Q49" s="645">
        <v>16</v>
      </c>
      <c r="R49" s="645">
        <v>17</v>
      </c>
      <c r="S49" s="645">
        <v>18</v>
      </c>
      <c r="T49" s="645">
        <v>19</v>
      </c>
      <c r="U49" s="645">
        <v>20</v>
      </c>
      <c r="V49" s="844"/>
      <c r="W49" s="645">
        <v>21</v>
      </c>
      <c r="X49" s="645">
        <v>22</v>
      </c>
      <c r="Y49" s="645">
        <v>23</v>
      </c>
      <c r="Z49" s="645">
        <v>24</v>
      </c>
      <c r="AA49" s="645">
        <v>25</v>
      </c>
      <c r="AB49" s="645">
        <v>26</v>
      </c>
      <c r="AC49" s="645">
        <v>27</v>
      </c>
      <c r="AD49" s="844"/>
      <c r="AE49" s="645">
        <v>28</v>
      </c>
      <c r="AF49" s="645">
        <v>29</v>
      </c>
      <c r="AG49" s="645">
        <v>30</v>
      </c>
      <c r="AH49" s="645">
        <v>1</v>
      </c>
      <c r="AI49" s="645">
        <v>2</v>
      </c>
      <c r="AJ49" s="645">
        <v>3</v>
      </c>
      <c r="AK49" s="645">
        <v>4</v>
      </c>
      <c r="AL49" s="644"/>
      <c r="AM49" s="844"/>
      <c r="AN49" s="644"/>
      <c r="AT49" s="132"/>
      <c r="AU49" s="132"/>
      <c r="AV49" s="132"/>
    </row>
    <row r="50" spans="2:48">
      <c r="B50" s="676"/>
      <c r="C50" s="676"/>
      <c r="D50" s="325" t="s">
        <v>42</v>
      </c>
      <c r="E50" s="218" t="s">
        <v>114</v>
      </c>
      <c r="F50" s="218" t="s">
        <v>115</v>
      </c>
      <c r="G50" s="645"/>
      <c r="H50" s="645"/>
      <c r="I50" s="645"/>
      <c r="J50" s="645"/>
      <c r="K50" s="645"/>
      <c r="L50" s="645"/>
      <c r="M50" s="645"/>
      <c r="N50" s="844"/>
      <c r="O50" s="645"/>
      <c r="P50" s="645"/>
      <c r="Q50" s="645"/>
      <c r="R50" s="645"/>
      <c r="S50" s="645"/>
      <c r="T50" s="645"/>
      <c r="U50" s="645"/>
      <c r="V50" s="844"/>
      <c r="W50" s="645"/>
      <c r="X50" s="645"/>
      <c r="Y50" s="645"/>
      <c r="Z50" s="645"/>
      <c r="AA50" s="645"/>
      <c r="AB50" s="645"/>
      <c r="AC50" s="645"/>
      <c r="AD50" s="844"/>
      <c r="AE50" s="645"/>
      <c r="AF50" s="645"/>
      <c r="AG50" s="645"/>
      <c r="AH50" s="645"/>
      <c r="AI50" s="645"/>
      <c r="AJ50" s="645"/>
      <c r="AK50" s="645"/>
      <c r="AL50" s="644"/>
      <c r="AM50" s="844"/>
      <c r="AN50" s="644"/>
      <c r="AT50" s="132"/>
      <c r="AU50" s="132"/>
      <c r="AV50" s="132"/>
    </row>
    <row r="51" spans="2:48">
      <c r="B51" s="662" t="s">
        <v>294</v>
      </c>
      <c r="C51" s="662" t="s">
        <v>295</v>
      </c>
      <c r="D51" s="198">
        <v>1</v>
      </c>
      <c r="E51" s="585" t="s">
        <v>879</v>
      </c>
      <c r="F51" s="585" t="s">
        <v>880</v>
      </c>
      <c r="G51" s="11" t="s">
        <v>108</v>
      </c>
      <c r="H51" s="322" t="s">
        <v>116</v>
      </c>
      <c r="I51" s="11" t="s">
        <v>116</v>
      </c>
      <c r="J51" s="12" t="s">
        <v>117</v>
      </c>
      <c r="K51" s="11" t="s">
        <v>108</v>
      </c>
      <c r="L51" s="11" t="s">
        <v>108</v>
      </c>
      <c r="M51" s="11" t="s">
        <v>108</v>
      </c>
      <c r="N51" s="507">
        <v>72</v>
      </c>
      <c r="O51" s="11" t="s">
        <v>108</v>
      </c>
      <c r="P51" s="11" t="s">
        <v>116</v>
      </c>
      <c r="Q51" s="323" t="s">
        <v>117</v>
      </c>
      <c r="R51" s="323" t="s">
        <v>117</v>
      </c>
      <c r="S51" s="322" t="s">
        <v>108</v>
      </c>
      <c r="T51" s="322" t="s">
        <v>108</v>
      </c>
      <c r="U51" s="11" t="s">
        <v>108</v>
      </c>
      <c r="V51" s="507">
        <v>60</v>
      </c>
      <c r="W51" s="11" t="s">
        <v>108</v>
      </c>
      <c r="X51" s="11" t="s">
        <v>116</v>
      </c>
      <c r="Y51" s="11" t="s">
        <v>116</v>
      </c>
      <c r="Z51" s="323" t="s">
        <v>117</v>
      </c>
      <c r="AA51" s="322" t="s">
        <v>108</v>
      </c>
      <c r="AB51" s="322" t="s">
        <v>108</v>
      </c>
      <c r="AC51" s="11" t="s">
        <v>108</v>
      </c>
      <c r="AD51" s="507">
        <v>60</v>
      </c>
      <c r="AE51" s="11" t="s">
        <v>108</v>
      </c>
      <c r="AF51" s="11" t="s">
        <v>116</v>
      </c>
      <c r="AG51" s="11" t="s">
        <v>116</v>
      </c>
      <c r="AH51" s="323" t="s">
        <v>117</v>
      </c>
      <c r="AI51" s="323" t="s">
        <v>117</v>
      </c>
      <c r="AJ51" s="322" t="s">
        <v>108</v>
      </c>
      <c r="AK51" s="11" t="s">
        <v>108</v>
      </c>
      <c r="AL51" s="507">
        <v>72</v>
      </c>
      <c r="AM51" s="501">
        <v>264</v>
      </c>
      <c r="AN51" s="501">
        <v>22</v>
      </c>
      <c r="AT51" s="132"/>
      <c r="AU51" s="132"/>
      <c r="AV51" s="132"/>
    </row>
    <row r="52" spans="2:48">
      <c r="B52" s="662"/>
      <c r="C52" s="662"/>
      <c r="D52" s="198">
        <v>2</v>
      </c>
      <c r="E52" s="193" t="s">
        <v>567</v>
      </c>
      <c r="F52" s="193" t="s">
        <v>568</v>
      </c>
      <c r="G52" s="11" t="s">
        <v>116</v>
      </c>
      <c r="H52" s="328" t="s">
        <v>117</v>
      </c>
      <c r="I52" s="11" t="s">
        <v>108</v>
      </c>
      <c r="J52" s="11" t="s">
        <v>108</v>
      </c>
      <c r="K52" s="322" t="s">
        <v>116</v>
      </c>
      <c r="L52" s="322" t="s">
        <v>116</v>
      </c>
      <c r="M52" s="322" t="s">
        <v>116</v>
      </c>
      <c r="N52" s="507">
        <v>72</v>
      </c>
      <c r="O52" s="11" t="s">
        <v>116</v>
      </c>
      <c r="P52" s="605" t="s">
        <v>117</v>
      </c>
      <c r="Q52" s="11" t="s">
        <v>108</v>
      </c>
      <c r="R52" s="11" t="s">
        <v>108</v>
      </c>
      <c r="S52" s="11" t="s">
        <v>108</v>
      </c>
      <c r="T52" s="322" t="s">
        <v>116</v>
      </c>
      <c r="U52" s="322" t="s">
        <v>116</v>
      </c>
      <c r="V52" s="507">
        <v>72</v>
      </c>
      <c r="W52" s="11" t="s">
        <v>116</v>
      </c>
      <c r="X52" s="12" t="s">
        <v>117</v>
      </c>
      <c r="Y52" s="605" t="s">
        <v>117</v>
      </c>
      <c r="Z52" s="11" t="s">
        <v>108</v>
      </c>
      <c r="AA52" s="11" t="s">
        <v>116</v>
      </c>
      <c r="AB52" s="322" t="s">
        <v>116</v>
      </c>
      <c r="AC52" s="322" t="s">
        <v>116</v>
      </c>
      <c r="AD52" s="507">
        <v>72</v>
      </c>
      <c r="AE52" s="11" t="s">
        <v>116</v>
      </c>
      <c r="AF52" s="12" t="s">
        <v>117</v>
      </c>
      <c r="AG52" s="11" t="s">
        <v>108</v>
      </c>
      <c r="AH52" s="11" t="s">
        <v>108</v>
      </c>
      <c r="AI52" s="11" t="s">
        <v>108</v>
      </c>
      <c r="AJ52" s="322" t="s">
        <v>116</v>
      </c>
      <c r="AK52" s="322" t="s">
        <v>116</v>
      </c>
      <c r="AL52" s="507">
        <v>60</v>
      </c>
      <c r="AM52" s="501">
        <v>252</v>
      </c>
      <c r="AN52" s="501">
        <v>21</v>
      </c>
      <c r="AT52" s="132"/>
      <c r="AU52" s="132"/>
      <c r="AV52" s="132"/>
    </row>
    <row r="53" spans="2:48" s="1" customFormat="1" ht="15" customHeight="1">
      <c r="B53" s="337" t="s">
        <v>296</v>
      </c>
      <c r="C53" s="337" t="s">
        <v>297</v>
      </c>
      <c r="D53" s="198">
        <v>3</v>
      </c>
      <c r="E53" s="193" t="s">
        <v>569</v>
      </c>
      <c r="F53" s="193" t="s">
        <v>570</v>
      </c>
      <c r="G53" s="315" t="s">
        <v>104</v>
      </c>
      <c r="H53" s="315" t="s">
        <v>104</v>
      </c>
      <c r="I53" s="344" t="s">
        <v>104</v>
      </c>
      <c r="J53" s="344" t="s">
        <v>104</v>
      </c>
      <c r="K53" s="344" t="s">
        <v>104</v>
      </c>
      <c r="L53" s="344" t="s">
        <v>104</v>
      </c>
      <c r="M53" s="364" t="s">
        <v>117</v>
      </c>
      <c r="N53" s="522">
        <v>48</v>
      </c>
      <c r="O53" s="315" t="s">
        <v>104</v>
      </c>
      <c r="P53" s="315" t="s">
        <v>104</v>
      </c>
      <c r="Q53" s="344" t="s">
        <v>104</v>
      </c>
      <c r="R53" s="344" t="s">
        <v>104</v>
      </c>
      <c r="S53" s="344" t="s">
        <v>104</v>
      </c>
      <c r="T53" s="344" t="s">
        <v>104</v>
      </c>
      <c r="U53" s="364" t="s">
        <v>117</v>
      </c>
      <c r="V53" s="522">
        <v>48</v>
      </c>
      <c r="W53" s="315" t="s">
        <v>104</v>
      </c>
      <c r="X53" s="315" t="s">
        <v>104</v>
      </c>
      <c r="Y53" s="344" t="s">
        <v>104</v>
      </c>
      <c r="Z53" s="344" t="s">
        <v>104</v>
      </c>
      <c r="AA53" s="344" t="s">
        <v>104</v>
      </c>
      <c r="AB53" s="344" t="s">
        <v>104</v>
      </c>
      <c r="AC53" s="364" t="s">
        <v>117</v>
      </c>
      <c r="AD53" s="522">
        <v>48</v>
      </c>
      <c r="AE53" s="315" t="s">
        <v>104</v>
      </c>
      <c r="AF53" s="315" t="s">
        <v>104</v>
      </c>
      <c r="AG53" s="344" t="s">
        <v>104</v>
      </c>
      <c r="AH53" s="344" t="s">
        <v>104</v>
      </c>
      <c r="AI53" s="344" t="s">
        <v>104</v>
      </c>
      <c r="AJ53" s="344" t="s">
        <v>104</v>
      </c>
      <c r="AK53" s="364" t="s">
        <v>117</v>
      </c>
      <c r="AL53" s="522">
        <v>48</v>
      </c>
      <c r="AM53" s="502">
        <v>264</v>
      </c>
      <c r="AN53" s="502">
        <v>22</v>
      </c>
    </row>
    <row r="54" spans="2:48">
      <c r="B54" s="353"/>
      <c r="C54" s="353"/>
      <c r="AM54" s="500"/>
      <c r="AN54" s="353"/>
      <c r="AT54" s="132"/>
      <c r="AU54" s="132"/>
      <c r="AV54" s="132"/>
    </row>
    <row r="55" spans="2:48" ht="15" customHeight="1">
      <c r="B55" s="846" t="s">
        <v>298</v>
      </c>
      <c r="C55" s="846" t="s">
        <v>127</v>
      </c>
      <c r="D55" s="196" t="s">
        <v>101</v>
      </c>
      <c r="E55" s="196" t="s">
        <v>299</v>
      </c>
      <c r="F55" s="196" t="s">
        <v>102</v>
      </c>
      <c r="G55" s="229" t="s">
        <v>103</v>
      </c>
      <c r="H55" s="229" t="s">
        <v>104</v>
      </c>
      <c r="I55" s="229" t="s">
        <v>104</v>
      </c>
      <c r="J55" s="229" t="s">
        <v>105</v>
      </c>
      <c r="K55" s="229" t="s">
        <v>106</v>
      </c>
      <c r="L55" s="229" t="s">
        <v>107</v>
      </c>
      <c r="M55" s="229" t="s">
        <v>108</v>
      </c>
      <c r="N55" s="844" t="s">
        <v>109</v>
      </c>
      <c r="O55" s="230" t="s">
        <v>103</v>
      </c>
      <c r="P55" s="230" t="s">
        <v>104</v>
      </c>
      <c r="Q55" s="230" t="s">
        <v>104</v>
      </c>
      <c r="R55" s="230" t="s">
        <v>105</v>
      </c>
      <c r="S55" s="230" t="s">
        <v>106</v>
      </c>
      <c r="T55" s="230" t="s">
        <v>107</v>
      </c>
      <c r="U55" s="230" t="s">
        <v>108</v>
      </c>
      <c r="V55" s="844" t="s">
        <v>109</v>
      </c>
      <c r="W55" s="231" t="s">
        <v>103</v>
      </c>
      <c r="X55" s="231" t="s">
        <v>104</v>
      </c>
      <c r="Y55" s="231" t="s">
        <v>104</v>
      </c>
      <c r="Z55" s="231" t="s">
        <v>105</v>
      </c>
      <c r="AA55" s="231" t="s">
        <v>106</v>
      </c>
      <c r="AB55" s="231" t="s">
        <v>107</v>
      </c>
      <c r="AC55" s="231" t="s">
        <v>108</v>
      </c>
      <c r="AD55" s="844" t="s">
        <v>109</v>
      </c>
      <c r="AE55" s="227" t="s">
        <v>103</v>
      </c>
      <c r="AF55" s="227" t="s">
        <v>104</v>
      </c>
      <c r="AG55" s="227" t="s">
        <v>104</v>
      </c>
      <c r="AH55" s="228" t="s">
        <v>105</v>
      </c>
      <c r="AI55" s="228" t="s">
        <v>106</v>
      </c>
      <c r="AJ55" s="228" t="s">
        <v>107</v>
      </c>
      <c r="AK55" s="228" t="s">
        <v>108</v>
      </c>
      <c r="AL55" s="644" t="s">
        <v>109</v>
      </c>
      <c r="AM55" s="844" t="s">
        <v>129</v>
      </c>
      <c r="AN55" s="644" t="s">
        <v>111</v>
      </c>
      <c r="AT55" s="132"/>
      <c r="AU55" s="132"/>
      <c r="AV55" s="132"/>
    </row>
    <row r="56" spans="2:48">
      <c r="B56" s="846"/>
      <c r="C56" s="846"/>
      <c r="D56" s="196" t="s">
        <v>112</v>
      </c>
      <c r="E56" s="196" t="s">
        <v>845</v>
      </c>
      <c r="F56" s="196" t="s">
        <v>113</v>
      </c>
      <c r="G56" s="645">
        <v>7</v>
      </c>
      <c r="H56" s="645">
        <v>8</v>
      </c>
      <c r="I56" s="645">
        <v>9</v>
      </c>
      <c r="J56" s="645">
        <v>10</v>
      </c>
      <c r="K56" s="645">
        <v>11</v>
      </c>
      <c r="L56" s="645">
        <v>12</v>
      </c>
      <c r="M56" s="645">
        <v>13</v>
      </c>
      <c r="N56" s="844"/>
      <c r="O56" s="645">
        <v>14</v>
      </c>
      <c r="P56" s="645">
        <v>15</v>
      </c>
      <c r="Q56" s="645">
        <v>16</v>
      </c>
      <c r="R56" s="645">
        <v>17</v>
      </c>
      <c r="S56" s="645">
        <v>18</v>
      </c>
      <c r="T56" s="645">
        <v>19</v>
      </c>
      <c r="U56" s="645">
        <v>20</v>
      </c>
      <c r="V56" s="844"/>
      <c r="W56" s="645">
        <v>21</v>
      </c>
      <c r="X56" s="645">
        <v>22</v>
      </c>
      <c r="Y56" s="645">
        <v>23</v>
      </c>
      <c r="Z56" s="645">
        <v>24</v>
      </c>
      <c r="AA56" s="645">
        <v>25</v>
      </c>
      <c r="AB56" s="645">
        <v>26</v>
      </c>
      <c r="AC56" s="645">
        <v>27</v>
      </c>
      <c r="AD56" s="844"/>
      <c r="AE56" s="645">
        <v>28</v>
      </c>
      <c r="AF56" s="645">
        <v>29</v>
      </c>
      <c r="AG56" s="645">
        <v>30</v>
      </c>
      <c r="AH56" s="645">
        <v>1</v>
      </c>
      <c r="AI56" s="645">
        <v>2</v>
      </c>
      <c r="AJ56" s="645">
        <v>3</v>
      </c>
      <c r="AK56" s="645">
        <v>4</v>
      </c>
      <c r="AL56" s="644"/>
      <c r="AM56" s="844"/>
      <c r="AN56" s="644"/>
      <c r="AT56" s="132"/>
      <c r="AU56" s="132"/>
      <c r="AV56" s="132"/>
    </row>
    <row r="57" spans="2:48">
      <c r="B57" s="846"/>
      <c r="C57" s="846"/>
      <c r="D57" s="325" t="s">
        <v>42</v>
      </c>
      <c r="E57" s="218" t="s">
        <v>114</v>
      </c>
      <c r="F57" s="218" t="s">
        <v>115</v>
      </c>
      <c r="G57" s="645"/>
      <c r="H57" s="645"/>
      <c r="I57" s="645"/>
      <c r="J57" s="645"/>
      <c r="K57" s="645"/>
      <c r="L57" s="645"/>
      <c r="M57" s="645"/>
      <c r="N57" s="844"/>
      <c r="O57" s="645"/>
      <c r="P57" s="645"/>
      <c r="Q57" s="645"/>
      <c r="R57" s="645"/>
      <c r="S57" s="645"/>
      <c r="T57" s="645"/>
      <c r="U57" s="645"/>
      <c r="V57" s="844"/>
      <c r="W57" s="645"/>
      <c r="X57" s="645"/>
      <c r="Y57" s="645"/>
      <c r="Z57" s="645"/>
      <c r="AA57" s="645"/>
      <c r="AB57" s="645"/>
      <c r="AC57" s="645"/>
      <c r="AD57" s="844"/>
      <c r="AE57" s="645"/>
      <c r="AF57" s="645"/>
      <c r="AG57" s="645"/>
      <c r="AH57" s="645"/>
      <c r="AI57" s="645"/>
      <c r="AJ57" s="645"/>
      <c r="AK57" s="645"/>
      <c r="AL57" s="644"/>
      <c r="AM57" s="844"/>
      <c r="AN57" s="644"/>
      <c r="AT57" s="132"/>
      <c r="AU57" s="132"/>
      <c r="AV57" s="132"/>
    </row>
    <row r="58" spans="2:48">
      <c r="B58" s="825" t="s">
        <v>305</v>
      </c>
      <c r="C58" s="852" t="s">
        <v>299</v>
      </c>
      <c r="D58" s="198">
        <v>1</v>
      </c>
      <c r="E58" s="193" t="s">
        <v>751</v>
      </c>
      <c r="F58" s="193" t="s">
        <v>752</v>
      </c>
      <c r="G58" s="512" t="s">
        <v>117</v>
      </c>
      <c r="H58" s="444" t="s">
        <v>108</v>
      </c>
      <c r="I58" s="126" t="s">
        <v>108</v>
      </c>
      <c r="J58" s="126" t="s">
        <v>108</v>
      </c>
      <c r="K58" s="126" t="s">
        <v>108</v>
      </c>
      <c r="L58" s="126" t="s">
        <v>108</v>
      </c>
      <c r="M58" s="126" t="s">
        <v>108</v>
      </c>
      <c r="N58" s="506">
        <v>72</v>
      </c>
      <c r="O58" s="125" t="s">
        <v>117</v>
      </c>
      <c r="P58" s="125" t="s">
        <v>117</v>
      </c>
      <c r="Q58" s="444" t="s">
        <v>108</v>
      </c>
      <c r="R58" s="126" t="s">
        <v>108</v>
      </c>
      <c r="S58" s="126" t="s">
        <v>108</v>
      </c>
      <c r="T58" s="126" t="s">
        <v>108</v>
      </c>
      <c r="U58" s="126" t="s">
        <v>108</v>
      </c>
      <c r="V58" s="505">
        <v>60</v>
      </c>
      <c r="W58" s="126" t="s">
        <v>116</v>
      </c>
      <c r="X58" s="125" t="s">
        <v>117</v>
      </c>
      <c r="Y58" s="126" t="s">
        <v>108</v>
      </c>
      <c r="Z58" s="126" t="s">
        <v>108</v>
      </c>
      <c r="AA58" s="126" t="s">
        <v>108</v>
      </c>
      <c r="AB58" s="126" t="s">
        <v>108</v>
      </c>
      <c r="AC58" s="126" t="s">
        <v>108</v>
      </c>
      <c r="AD58" s="505">
        <v>60</v>
      </c>
      <c r="AE58" s="126" t="s">
        <v>116</v>
      </c>
      <c r="AF58" s="125" t="s">
        <v>117</v>
      </c>
      <c r="AG58" s="444" t="s">
        <v>108</v>
      </c>
      <c r="AH58" s="126" t="s">
        <v>108</v>
      </c>
      <c r="AI58" s="126" t="s">
        <v>108</v>
      </c>
      <c r="AJ58" s="126" t="s">
        <v>108</v>
      </c>
      <c r="AK58" s="126" t="s">
        <v>108</v>
      </c>
      <c r="AL58" s="507">
        <v>70</v>
      </c>
      <c r="AM58" s="501" t="e">
        <f>+#REF!+N58+V58+AL58</f>
        <v>#REF!</v>
      </c>
      <c r="AN58" s="501">
        <v>20</v>
      </c>
      <c r="AT58" s="132"/>
      <c r="AU58" s="132"/>
      <c r="AV58" s="132"/>
    </row>
    <row r="59" spans="2:48">
      <c r="B59" s="825"/>
      <c r="C59" s="852"/>
      <c r="D59" s="198">
        <v>2</v>
      </c>
      <c r="E59" s="193" t="s">
        <v>797</v>
      </c>
      <c r="F59" s="193" t="s">
        <v>746</v>
      </c>
      <c r="G59" s="333" t="s">
        <v>108</v>
      </c>
      <c r="H59" s="335" t="s">
        <v>117</v>
      </c>
      <c r="I59" s="335" t="s">
        <v>117</v>
      </c>
      <c r="J59" s="511" t="s">
        <v>108</v>
      </c>
      <c r="K59" s="510" t="s">
        <v>108</v>
      </c>
      <c r="L59" s="333" t="s">
        <v>108</v>
      </c>
      <c r="M59" s="333" t="s">
        <v>108</v>
      </c>
      <c r="N59" s="506">
        <v>60</v>
      </c>
      <c r="O59" s="333" t="s">
        <v>108</v>
      </c>
      <c r="P59" s="333" t="s">
        <v>108</v>
      </c>
      <c r="Q59" s="332" t="s">
        <v>117</v>
      </c>
      <c r="R59" s="510" t="s">
        <v>108</v>
      </c>
      <c r="S59" s="334" t="s">
        <v>108</v>
      </c>
      <c r="T59" s="334" t="s">
        <v>108</v>
      </c>
      <c r="U59" s="334" t="s">
        <v>108</v>
      </c>
      <c r="V59" s="505">
        <v>72</v>
      </c>
      <c r="W59" s="333" t="s">
        <v>108</v>
      </c>
      <c r="X59" s="333" t="s">
        <v>116</v>
      </c>
      <c r="Y59" s="331" t="s">
        <v>117</v>
      </c>
      <c r="Z59" s="333" t="s">
        <v>108</v>
      </c>
      <c r="AA59" s="333" t="s">
        <v>108</v>
      </c>
      <c r="AB59" s="333" t="s">
        <v>108</v>
      </c>
      <c r="AC59" s="333" t="s">
        <v>108</v>
      </c>
      <c r="AD59" s="505">
        <v>72</v>
      </c>
      <c r="AE59" s="333" t="s">
        <v>108</v>
      </c>
      <c r="AF59" s="333" t="s">
        <v>116</v>
      </c>
      <c r="AG59" s="606" t="s">
        <v>117</v>
      </c>
      <c r="AH59" s="332" t="s">
        <v>117</v>
      </c>
      <c r="AI59" s="510" t="s">
        <v>108</v>
      </c>
      <c r="AJ59" s="334" t="s">
        <v>108</v>
      </c>
      <c r="AK59" s="334" t="s">
        <v>108</v>
      </c>
      <c r="AL59" s="507">
        <v>72</v>
      </c>
      <c r="AM59" s="503" t="e">
        <f>+#REF!+N59+V59+AL59</f>
        <v>#REF!</v>
      </c>
      <c r="AN59" s="501">
        <v>20</v>
      </c>
      <c r="AT59" s="132"/>
      <c r="AU59" s="132"/>
      <c r="AV59" s="132"/>
    </row>
    <row r="60" spans="2:48">
      <c r="B60" s="850" t="s">
        <v>306</v>
      </c>
      <c r="C60" s="852"/>
      <c r="D60" s="198">
        <v>3</v>
      </c>
      <c r="E60" s="193" t="s">
        <v>820</v>
      </c>
      <c r="F60" s="193" t="s">
        <v>819</v>
      </c>
      <c r="G60" s="444" t="s">
        <v>116</v>
      </c>
      <c r="H60" s="443" t="s">
        <v>116</v>
      </c>
      <c r="I60" s="443" t="s">
        <v>116</v>
      </c>
      <c r="J60" s="512" t="s">
        <v>117</v>
      </c>
      <c r="K60" s="345" t="s">
        <v>116</v>
      </c>
      <c r="L60" s="11" t="s">
        <v>116</v>
      </c>
      <c r="M60" s="11" t="s">
        <v>116</v>
      </c>
      <c r="N60" s="505">
        <v>72</v>
      </c>
      <c r="O60" s="333" t="s">
        <v>116</v>
      </c>
      <c r="P60" s="333" t="s">
        <v>116</v>
      </c>
      <c r="Q60" s="510" t="s">
        <v>116</v>
      </c>
      <c r="R60" s="332" t="s">
        <v>117</v>
      </c>
      <c r="S60" s="345" t="s">
        <v>116</v>
      </c>
      <c r="T60" s="345" t="s">
        <v>116</v>
      </c>
      <c r="U60" s="11" t="s">
        <v>116</v>
      </c>
      <c r="V60" s="505">
        <v>72</v>
      </c>
      <c r="W60" s="331" t="s">
        <v>117</v>
      </c>
      <c r="X60" s="126" t="s">
        <v>108</v>
      </c>
      <c r="Y60" s="126" t="s">
        <v>116</v>
      </c>
      <c r="Z60" s="125" t="s">
        <v>117</v>
      </c>
      <c r="AA60" s="345" t="s">
        <v>116</v>
      </c>
      <c r="AB60" s="345" t="s">
        <v>116</v>
      </c>
      <c r="AC60" s="11" t="s">
        <v>116</v>
      </c>
      <c r="AD60" s="505">
        <v>72</v>
      </c>
      <c r="AE60" s="328" t="s">
        <v>117</v>
      </c>
      <c r="AF60" s="333" t="s">
        <v>108</v>
      </c>
      <c r="AG60" s="333" t="s">
        <v>108</v>
      </c>
      <c r="AH60" s="126" t="s">
        <v>108</v>
      </c>
      <c r="AI60" s="510" t="s">
        <v>108</v>
      </c>
      <c r="AJ60" s="345" t="s">
        <v>116</v>
      </c>
      <c r="AK60" s="11" t="s">
        <v>116</v>
      </c>
      <c r="AL60" s="507">
        <v>60</v>
      </c>
      <c r="AM60" s="503" t="e">
        <f>+#REF!+N60+V60+AL60</f>
        <v>#REF!</v>
      </c>
      <c r="AN60" s="501">
        <v>20</v>
      </c>
      <c r="AT60" s="132"/>
      <c r="AU60" s="132"/>
      <c r="AV60" s="132"/>
    </row>
    <row r="61" spans="2:48">
      <c r="B61" s="850"/>
      <c r="C61" s="852"/>
      <c r="D61" s="198">
        <v>4</v>
      </c>
      <c r="E61" s="585" t="s">
        <v>571</v>
      </c>
      <c r="F61" s="585" t="s">
        <v>811</v>
      </c>
      <c r="G61" s="333" t="s">
        <v>108</v>
      </c>
      <c r="H61" s="333" t="s">
        <v>108</v>
      </c>
      <c r="I61" s="333" t="s">
        <v>108</v>
      </c>
      <c r="J61" s="333" t="s">
        <v>116</v>
      </c>
      <c r="K61" s="333" t="s">
        <v>116</v>
      </c>
      <c r="L61" s="331" t="s">
        <v>117</v>
      </c>
      <c r="M61" s="331" t="s">
        <v>117</v>
      </c>
      <c r="N61" s="506">
        <v>60</v>
      </c>
      <c r="O61" s="333" t="s">
        <v>108</v>
      </c>
      <c r="P61" s="333" t="s">
        <v>108</v>
      </c>
      <c r="Q61" s="333" t="s">
        <v>108</v>
      </c>
      <c r="R61" s="333" t="s">
        <v>116</v>
      </c>
      <c r="S61" s="333" t="s">
        <v>116</v>
      </c>
      <c r="T61" s="333" t="s">
        <v>116</v>
      </c>
      <c r="U61" s="331" t="s">
        <v>117</v>
      </c>
      <c r="V61" s="506">
        <v>72</v>
      </c>
      <c r="W61" s="333" t="s">
        <v>108</v>
      </c>
      <c r="X61" s="333" t="s">
        <v>108</v>
      </c>
      <c r="Y61" s="333" t="s">
        <v>108</v>
      </c>
      <c r="Z61" s="333" t="s">
        <v>116</v>
      </c>
      <c r="AA61" s="333" t="s">
        <v>116</v>
      </c>
      <c r="AB61" s="333" t="s">
        <v>116</v>
      </c>
      <c r="AC61" s="331" t="s">
        <v>117</v>
      </c>
      <c r="AD61" s="506">
        <v>72</v>
      </c>
      <c r="AE61" s="333" t="s">
        <v>108</v>
      </c>
      <c r="AF61" s="333" t="s">
        <v>108</v>
      </c>
      <c r="AG61" s="348" t="s">
        <v>116</v>
      </c>
      <c r="AH61" s="333" t="s">
        <v>116</v>
      </c>
      <c r="AI61" s="606" t="s">
        <v>117</v>
      </c>
      <c r="AJ61" s="333" t="s">
        <v>116</v>
      </c>
      <c r="AK61" s="331" t="s">
        <v>117</v>
      </c>
      <c r="AL61" s="507">
        <v>72</v>
      </c>
      <c r="AM61" s="501" t="e">
        <f>+#REF!+N61+V61+AL61</f>
        <v>#REF!</v>
      </c>
      <c r="AN61" s="501">
        <v>20</v>
      </c>
      <c r="AT61" s="132"/>
      <c r="AU61" s="132"/>
      <c r="AV61" s="132"/>
    </row>
    <row r="62" spans="2:48">
      <c r="B62" s="369"/>
      <c r="C62" s="368"/>
      <c r="D62" s="198">
        <v>5</v>
      </c>
      <c r="E62" s="585" t="s">
        <v>748</v>
      </c>
      <c r="F62" s="585" t="s">
        <v>747</v>
      </c>
      <c r="G62" s="333" t="s">
        <v>108</v>
      </c>
      <c r="H62" s="333" t="s">
        <v>108</v>
      </c>
      <c r="I62" s="333" t="s">
        <v>108</v>
      </c>
      <c r="J62" s="333" t="s">
        <v>108</v>
      </c>
      <c r="K62" s="333" t="s">
        <v>108</v>
      </c>
      <c r="L62" s="442" t="s">
        <v>108</v>
      </c>
      <c r="M62" s="331" t="s">
        <v>117</v>
      </c>
      <c r="N62" s="506">
        <v>72</v>
      </c>
      <c r="O62" s="333" t="s">
        <v>108</v>
      </c>
      <c r="P62" s="333" t="s">
        <v>108</v>
      </c>
      <c r="Q62" s="333" t="s">
        <v>108</v>
      </c>
      <c r="R62" s="333" t="s">
        <v>108</v>
      </c>
      <c r="S62" s="333" t="s">
        <v>108</v>
      </c>
      <c r="T62" s="442" t="s">
        <v>108</v>
      </c>
      <c r="U62" s="331" t="s">
        <v>117</v>
      </c>
      <c r="V62" s="506">
        <v>72</v>
      </c>
      <c r="W62" s="333" t="s">
        <v>108</v>
      </c>
      <c r="X62" s="333" t="s">
        <v>108</v>
      </c>
      <c r="Y62" s="333" t="s">
        <v>108</v>
      </c>
      <c r="Z62" s="333" t="s">
        <v>108</v>
      </c>
      <c r="AA62" s="333" t="s">
        <v>108</v>
      </c>
      <c r="AB62" s="442" t="s">
        <v>108</v>
      </c>
      <c r="AC62" s="331" t="s">
        <v>117</v>
      </c>
      <c r="AD62" s="506">
        <v>72</v>
      </c>
      <c r="AE62" s="333" t="s">
        <v>108</v>
      </c>
      <c r="AF62" s="333" t="s">
        <v>108</v>
      </c>
      <c r="AG62" s="333" t="s">
        <v>108</v>
      </c>
      <c r="AH62" s="333" t="s">
        <v>108</v>
      </c>
      <c r="AI62" s="333" t="s">
        <v>108</v>
      </c>
      <c r="AJ62" s="442" t="s">
        <v>108</v>
      </c>
      <c r="AK62" s="331" t="s">
        <v>117</v>
      </c>
      <c r="AL62" s="506">
        <v>72</v>
      </c>
      <c r="AM62" s="501">
        <f>72*4</f>
        <v>288</v>
      </c>
      <c r="AN62" s="501">
        <f>6*4</f>
        <v>24</v>
      </c>
      <c r="AT62" s="132"/>
      <c r="AU62" s="132"/>
      <c r="AV62" s="132"/>
    </row>
    <row r="63" spans="2:48">
      <c r="B63" s="353"/>
      <c r="C63" s="353"/>
      <c r="AM63" s="500"/>
      <c r="AN63" s="353"/>
      <c r="AT63" s="132"/>
      <c r="AU63" s="132"/>
      <c r="AV63" s="132"/>
    </row>
    <row r="64" spans="2:48" ht="15" customHeight="1">
      <c r="B64" s="846"/>
      <c r="C64" s="846" t="s">
        <v>127</v>
      </c>
      <c r="D64" s="196" t="s">
        <v>101</v>
      </c>
      <c r="E64" s="196" t="s">
        <v>302</v>
      </c>
      <c r="F64" s="196" t="s">
        <v>102</v>
      </c>
      <c r="G64" s="229" t="s">
        <v>103</v>
      </c>
      <c r="H64" s="229" t="s">
        <v>104</v>
      </c>
      <c r="I64" s="229" t="s">
        <v>104</v>
      </c>
      <c r="J64" s="229" t="s">
        <v>105</v>
      </c>
      <c r="K64" s="229" t="s">
        <v>106</v>
      </c>
      <c r="L64" s="229" t="s">
        <v>107</v>
      </c>
      <c r="M64" s="229" t="s">
        <v>108</v>
      </c>
      <c r="N64" s="844" t="s">
        <v>109</v>
      </c>
      <c r="O64" s="230" t="s">
        <v>103</v>
      </c>
      <c r="P64" s="230" t="s">
        <v>104</v>
      </c>
      <c r="Q64" s="230" t="s">
        <v>104</v>
      </c>
      <c r="R64" s="230" t="s">
        <v>105</v>
      </c>
      <c r="S64" s="230" t="s">
        <v>106</v>
      </c>
      <c r="T64" s="230" t="s">
        <v>107</v>
      </c>
      <c r="U64" s="230" t="s">
        <v>108</v>
      </c>
      <c r="V64" s="844" t="s">
        <v>109</v>
      </c>
      <c r="W64" s="231" t="s">
        <v>103</v>
      </c>
      <c r="X64" s="231" t="s">
        <v>104</v>
      </c>
      <c r="Y64" s="231" t="s">
        <v>104</v>
      </c>
      <c r="Z64" s="231" t="s">
        <v>105</v>
      </c>
      <c r="AA64" s="231" t="s">
        <v>106</v>
      </c>
      <c r="AB64" s="231" t="s">
        <v>107</v>
      </c>
      <c r="AC64" s="231" t="s">
        <v>108</v>
      </c>
      <c r="AD64" s="844" t="s">
        <v>109</v>
      </c>
      <c r="AE64" s="227" t="s">
        <v>103</v>
      </c>
      <c r="AF64" s="227" t="s">
        <v>104</v>
      </c>
      <c r="AG64" s="227" t="s">
        <v>104</v>
      </c>
      <c r="AH64" s="228" t="s">
        <v>105</v>
      </c>
      <c r="AI64" s="228" t="s">
        <v>106</v>
      </c>
      <c r="AJ64" s="228" t="s">
        <v>107</v>
      </c>
      <c r="AK64" s="228" t="s">
        <v>108</v>
      </c>
      <c r="AL64" s="644" t="s">
        <v>109</v>
      </c>
      <c r="AM64" s="844" t="s">
        <v>110</v>
      </c>
      <c r="AN64" s="644" t="s">
        <v>111</v>
      </c>
      <c r="AT64" s="132"/>
      <c r="AU64" s="132"/>
      <c r="AV64" s="132"/>
    </row>
    <row r="65" spans="2:48">
      <c r="B65" s="846"/>
      <c r="C65" s="846"/>
      <c r="D65" s="196" t="s">
        <v>112</v>
      </c>
      <c r="E65" s="196" t="s">
        <v>845</v>
      </c>
      <c r="F65" s="196" t="s">
        <v>113</v>
      </c>
      <c r="G65" s="645">
        <v>7</v>
      </c>
      <c r="H65" s="645">
        <v>8</v>
      </c>
      <c r="I65" s="645">
        <v>9</v>
      </c>
      <c r="J65" s="645">
        <v>10</v>
      </c>
      <c r="K65" s="645">
        <v>11</v>
      </c>
      <c r="L65" s="645">
        <v>12</v>
      </c>
      <c r="M65" s="645">
        <v>13</v>
      </c>
      <c r="N65" s="844"/>
      <c r="O65" s="645">
        <v>14</v>
      </c>
      <c r="P65" s="645">
        <v>15</v>
      </c>
      <c r="Q65" s="645">
        <v>16</v>
      </c>
      <c r="R65" s="645">
        <v>17</v>
      </c>
      <c r="S65" s="645">
        <v>18</v>
      </c>
      <c r="T65" s="645">
        <v>19</v>
      </c>
      <c r="U65" s="645">
        <v>20</v>
      </c>
      <c r="V65" s="844"/>
      <c r="W65" s="645">
        <v>21</v>
      </c>
      <c r="X65" s="645">
        <v>22</v>
      </c>
      <c r="Y65" s="645">
        <v>23</v>
      </c>
      <c r="Z65" s="645">
        <v>24</v>
      </c>
      <c r="AA65" s="645">
        <v>25</v>
      </c>
      <c r="AB65" s="645">
        <v>26</v>
      </c>
      <c r="AC65" s="645">
        <v>27</v>
      </c>
      <c r="AD65" s="844"/>
      <c r="AE65" s="645">
        <v>28</v>
      </c>
      <c r="AF65" s="645">
        <v>29</v>
      </c>
      <c r="AG65" s="645">
        <v>30</v>
      </c>
      <c r="AH65" s="645">
        <v>1</v>
      </c>
      <c r="AI65" s="645">
        <v>2</v>
      </c>
      <c r="AJ65" s="645">
        <v>3</v>
      </c>
      <c r="AK65" s="645">
        <v>4</v>
      </c>
      <c r="AL65" s="644"/>
      <c r="AM65" s="844"/>
      <c r="AN65" s="644"/>
      <c r="AT65" s="132"/>
      <c r="AU65" s="132"/>
      <c r="AV65" s="132"/>
    </row>
    <row r="66" spans="2:48">
      <c r="B66" s="846"/>
      <c r="C66" s="846"/>
      <c r="D66" s="325" t="s">
        <v>42</v>
      </c>
      <c r="E66" s="218" t="s">
        <v>114</v>
      </c>
      <c r="F66" s="218" t="s">
        <v>115</v>
      </c>
      <c r="G66" s="645"/>
      <c r="H66" s="645"/>
      <c r="I66" s="645"/>
      <c r="J66" s="645"/>
      <c r="K66" s="645"/>
      <c r="L66" s="645"/>
      <c r="M66" s="645"/>
      <c r="N66" s="844"/>
      <c r="O66" s="645"/>
      <c r="P66" s="645"/>
      <c r="Q66" s="645"/>
      <c r="R66" s="645"/>
      <c r="S66" s="645"/>
      <c r="T66" s="645"/>
      <c r="U66" s="645"/>
      <c r="V66" s="844"/>
      <c r="W66" s="645"/>
      <c r="X66" s="645"/>
      <c r="Y66" s="645"/>
      <c r="Z66" s="645"/>
      <c r="AA66" s="645"/>
      <c r="AB66" s="645"/>
      <c r="AC66" s="645"/>
      <c r="AD66" s="844"/>
      <c r="AE66" s="645"/>
      <c r="AF66" s="645"/>
      <c r="AG66" s="645"/>
      <c r="AH66" s="645"/>
      <c r="AI66" s="645"/>
      <c r="AJ66" s="645"/>
      <c r="AK66" s="645"/>
      <c r="AL66" s="644"/>
      <c r="AM66" s="844"/>
      <c r="AN66" s="644"/>
      <c r="AT66" s="132"/>
      <c r="AU66" s="132"/>
      <c r="AV66" s="132"/>
    </row>
    <row r="67" spans="2:48">
      <c r="B67" s="349" t="s">
        <v>303</v>
      </c>
      <c r="C67" s="370" t="s">
        <v>304</v>
      </c>
      <c r="D67" s="198">
        <v>1</v>
      </c>
      <c r="E67" s="585" t="s">
        <v>753</v>
      </c>
      <c r="F67" s="585" t="s">
        <v>725</v>
      </c>
      <c r="G67" s="333" t="s">
        <v>116</v>
      </c>
      <c r="H67" s="333" t="s">
        <v>116</v>
      </c>
      <c r="I67" s="510" t="s">
        <v>116</v>
      </c>
      <c r="J67" s="333" t="s">
        <v>116</v>
      </c>
      <c r="K67" s="331" t="s">
        <v>117</v>
      </c>
      <c r="L67" s="333" t="s">
        <v>116</v>
      </c>
      <c r="M67" s="333" t="s">
        <v>116</v>
      </c>
      <c r="N67" s="505">
        <v>72</v>
      </c>
      <c r="O67" s="444" t="s">
        <v>116</v>
      </c>
      <c r="P67" s="333" t="s">
        <v>116</v>
      </c>
      <c r="Q67" s="348" t="s">
        <v>116</v>
      </c>
      <c r="R67" s="333" t="s">
        <v>116</v>
      </c>
      <c r="S67" s="513" t="s">
        <v>117</v>
      </c>
      <c r="T67" s="125" t="s">
        <v>117</v>
      </c>
      <c r="U67" s="333" t="s">
        <v>116</v>
      </c>
      <c r="V67" s="505">
        <v>60</v>
      </c>
      <c r="W67" s="333" t="s">
        <v>116</v>
      </c>
      <c r="X67" s="333" t="s">
        <v>116</v>
      </c>
      <c r="Y67" s="333" t="s">
        <v>116</v>
      </c>
      <c r="Z67" s="333" t="s">
        <v>116</v>
      </c>
      <c r="AA67" s="331" t="s">
        <v>117</v>
      </c>
      <c r="AB67" s="331" t="s">
        <v>117</v>
      </c>
      <c r="AC67" s="333" t="s">
        <v>116</v>
      </c>
      <c r="AD67" s="505">
        <v>60</v>
      </c>
      <c r="AE67" s="444" t="s">
        <v>116</v>
      </c>
      <c r="AF67" s="333" t="s">
        <v>116</v>
      </c>
      <c r="AG67" s="333" t="s">
        <v>116</v>
      </c>
      <c r="AH67" s="333" t="s">
        <v>116</v>
      </c>
      <c r="AI67" s="333" t="s">
        <v>116</v>
      </c>
      <c r="AJ67" s="125" t="s">
        <v>117</v>
      </c>
      <c r="AK67" s="333" t="s">
        <v>116</v>
      </c>
      <c r="AL67" s="507">
        <v>60</v>
      </c>
      <c r="AM67" s="501" t="e">
        <f>+#REF!+N67+V67+AL67</f>
        <v>#REF!</v>
      </c>
      <c r="AN67" s="501">
        <v>20</v>
      </c>
      <c r="AT67" s="132"/>
      <c r="AU67" s="132"/>
      <c r="AV67" s="132"/>
    </row>
    <row r="68" spans="2:48">
      <c r="B68" s="353"/>
      <c r="C68" s="353"/>
      <c r="AM68" s="500"/>
      <c r="AN68" s="353"/>
      <c r="AT68" s="132"/>
      <c r="AU68" s="132"/>
      <c r="AV68" s="132"/>
    </row>
    <row r="69" spans="2:48" ht="15" customHeight="1">
      <c r="B69" s="676" t="s">
        <v>126</v>
      </c>
      <c r="C69" s="676" t="s">
        <v>127</v>
      </c>
      <c r="D69" s="196" t="s">
        <v>101</v>
      </c>
      <c r="E69" s="196" t="s">
        <v>164</v>
      </c>
      <c r="F69" s="196" t="s">
        <v>102</v>
      </c>
      <c r="G69" s="229" t="s">
        <v>103</v>
      </c>
      <c r="H69" s="229" t="s">
        <v>104</v>
      </c>
      <c r="I69" s="229" t="s">
        <v>104</v>
      </c>
      <c r="J69" s="229" t="s">
        <v>105</v>
      </c>
      <c r="K69" s="229" t="s">
        <v>106</v>
      </c>
      <c r="L69" s="229" t="s">
        <v>107</v>
      </c>
      <c r="M69" s="229" t="s">
        <v>108</v>
      </c>
      <c r="N69" s="844" t="s">
        <v>109</v>
      </c>
      <c r="O69" s="230" t="s">
        <v>103</v>
      </c>
      <c r="P69" s="230" t="s">
        <v>104</v>
      </c>
      <c r="Q69" s="230" t="s">
        <v>104</v>
      </c>
      <c r="R69" s="230" t="s">
        <v>105</v>
      </c>
      <c r="S69" s="230" t="s">
        <v>106</v>
      </c>
      <c r="T69" s="230" t="s">
        <v>107</v>
      </c>
      <c r="U69" s="230" t="s">
        <v>108</v>
      </c>
      <c r="V69" s="844" t="s">
        <v>109</v>
      </c>
      <c r="W69" s="231" t="s">
        <v>103</v>
      </c>
      <c r="X69" s="231" t="s">
        <v>104</v>
      </c>
      <c r="Y69" s="231" t="s">
        <v>104</v>
      </c>
      <c r="Z69" s="231" t="s">
        <v>105</v>
      </c>
      <c r="AA69" s="231" t="s">
        <v>106</v>
      </c>
      <c r="AB69" s="231" t="s">
        <v>107</v>
      </c>
      <c r="AC69" s="231" t="s">
        <v>108</v>
      </c>
      <c r="AD69" s="844" t="s">
        <v>109</v>
      </c>
      <c r="AE69" s="227" t="s">
        <v>103</v>
      </c>
      <c r="AF69" s="227" t="s">
        <v>104</v>
      </c>
      <c r="AG69" s="227" t="s">
        <v>104</v>
      </c>
      <c r="AH69" s="228" t="s">
        <v>105</v>
      </c>
      <c r="AI69" s="228" t="s">
        <v>106</v>
      </c>
      <c r="AJ69" s="228" t="s">
        <v>107</v>
      </c>
      <c r="AK69" s="228" t="s">
        <v>108</v>
      </c>
      <c r="AL69" s="644" t="s">
        <v>109</v>
      </c>
      <c r="AM69" s="844" t="s">
        <v>129</v>
      </c>
      <c r="AN69" s="644" t="s">
        <v>111</v>
      </c>
      <c r="AT69" s="132"/>
      <c r="AU69" s="132"/>
      <c r="AV69" s="132"/>
    </row>
    <row r="70" spans="2:48">
      <c r="B70" s="676"/>
      <c r="C70" s="676"/>
      <c r="D70" s="196" t="s">
        <v>112</v>
      </c>
      <c r="E70" s="196" t="s">
        <v>845</v>
      </c>
      <c r="F70" s="196" t="s">
        <v>113</v>
      </c>
      <c r="G70" s="645">
        <v>7</v>
      </c>
      <c r="H70" s="645">
        <v>8</v>
      </c>
      <c r="I70" s="645">
        <v>9</v>
      </c>
      <c r="J70" s="645">
        <v>10</v>
      </c>
      <c r="K70" s="645">
        <v>11</v>
      </c>
      <c r="L70" s="645">
        <v>12</v>
      </c>
      <c r="M70" s="645">
        <v>13</v>
      </c>
      <c r="N70" s="844"/>
      <c r="O70" s="645">
        <v>14</v>
      </c>
      <c r="P70" s="645">
        <v>15</v>
      </c>
      <c r="Q70" s="645">
        <v>16</v>
      </c>
      <c r="R70" s="645">
        <v>17</v>
      </c>
      <c r="S70" s="645">
        <v>18</v>
      </c>
      <c r="T70" s="645">
        <v>19</v>
      </c>
      <c r="U70" s="645">
        <v>20</v>
      </c>
      <c r="V70" s="844"/>
      <c r="W70" s="645">
        <v>21</v>
      </c>
      <c r="X70" s="645">
        <v>22</v>
      </c>
      <c r="Y70" s="645">
        <v>23</v>
      </c>
      <c r="Z70" s="645">
        <v>24</v>
      </c>
      <c r="AA70" s="645">
        <v>25</v>
      </c>
      <c r="AB70" s="645">
        <v>26</v>
      </c>
      <c r="AC70" s="645">
        <v>27</v>
      </c>
      <c r="AD70" s="844"/>
      <c r="AE70" s="645">
        <v>28</v>
      </c>
      <c r="AF70" s="645">
        <v>29</v>
      </c>
      <c r="AG70" s="645">
        <v>30</v>
      </c>
      <c r="AH70" s="645">
        <v>1</v>
      </c>
      <c r="AI70" s="645">
        <v>2</v>
      </c>
      <c r="AJ70" s="645">
        <v>3</v>
      </c>
      <c r="AK70" s="645">
        <v>4</v>
      </c>
      <c r="AL70" s="644"/>
      <c r="AM70" s="844"/>
      <c r="AN70" s="644"/>
      <c r="AT70" s="132"/>
      <c r="AU70" s="132"/>
      <c r="AV70" s="132"/>
    </row>
    <row r="71" spans="2:48">
      <c r="B71" s="676"/>
      <c r="C71" s="676"/>
      <c r="D71" s="325" t="s">
        <v>42</v>
      </c>
      <c r="E71" s="218" t="s">
        <v>114</v>
      </c>
      <c r="F71" s="218" t="s">
        <v>115</v>
      </c>
      <c r="G71" s="645"/>
      <c r="H71" s="645"/>
      <c r="I71" s="645"/>
      <c r="J71" s="645"/>
      <c r="K71" s="645"/>
      <c r="L71" s="645"/>
      <c r="M71" s="645"/>
      <c r="N71" s="844"/>
      <c r="O71" s="645"/>
      <c r="P71" s="645"/>
      <c r="Q71" s="645"/>
      <c r="R71" s="645"/>
      <c r="S71" s="645"/>
      <c r="T71" s="645"/>
      <c r="U71" s="645"/>
      <c r="V71" s="844"/>
      <c r="W71" s="645"/>
      <c r="X71" s="645"/>
      <c r="Y71" s="645"/>
      <c r="Z71" s="645"/>
      <c r="AA71" s="645"/>
      <c r="AB71" s="645"/>
      <c r="AC71" s="645"/>
      <c r="AD71" s="844"/>
      <c r="AE71" s="645"/>
      <c r="AF71" s="645"/>
      <c r="AG71" s="645"/>
      <c r="AH71" s="645"/>
      <c r="AI71" s="645"/>
      <c r="AJ71" s="645"/>
      <c r="AK71" s="645"/>
      <c r="AL71" s="644"/>
      <c r="AM71" s="844"/>
      <c r="AN71" s="644"/>
      <c r="AT71" s="132"/>
      <c r="AU71" s="132"/>
      <c r="AV71" s="132"/>
    </row>
    <row r="72" spans="2:48">
      <c r="B72" s="804" t="s">
        <v>307</v>
      </c>
      <c r="C72" s="853" t="s">
        <v>300</v>
      </c>
      <c r="D72" s="198">
        <v>1</v>
      </c>
      <c r="E72" s="358" t="s">
        <v>754</v>
      </c>
      <c r="F72" s="441" t="s">
        <v>755</v>
      </c>
      <c r="G72" s="365" t="s">
        <v>108</v>
      </c>
      <c r="H72" s="11" t="s">
        <v>116</v>
      </c>
      <c r="I72" s="11" t="s">
        <v>116</v>
      </c>
      <c r="J72" s="366" t="s">
        <v>117</v>
      </c>
      <c r="K72" s="604" t="s">
        <v>116</v>
      </c>
      <c r="L72" s="605" t="s">
        <v>117</v>
      </c>
      <c r="M72" s="11" t="s">
        <v>108</v>
      </c>
      <c r="N72" s="507">
        <v>60</v>
      </c>
      <c r="O72" s="365" t="s">
        <v>108</v>
      </c>
      <c r="P72" s="11" t="s">
        <v>116</v>
      </c>
      <c r="Q72" s="11" t="s">
        <v>116</v>
      </c>
      <c r="R72" s="604" t="s">
        <v>116</v>
      </c>
      <c r="S72" s="517" t="s">
        <v>117</v>
      </c>
      <c r="T72" s="11" t="s">
        <v>108</v>
      </c>
      <c r="U72" s="11" t="s">
        <v>108</v>
      </c>
      <c r="V72" s="507">
        <v>72</v>
      </c>
      <c r="W72" s="365" t="s">
        <v>108</v>
      </c>
      <c r="X72" s="11" t="s">
        <v>116</v>
      </c>
      <c r="Y72" s="11" t="s">
        <v>116</v>
      </c>
      <c r="Z72" s="604" t="s">
        <v>116</v>
      </c>
      <c r="AA72" s="366" t="s">
        <v>117</v>
      </c>
      <c r="AB72" s="327" t="s">
        <v>117</v>
      </c>
      <c r="AC72" s="11" t="s">
        <v>108</v>
      </c>
      <c r="AD72" s="507">
        <v>72</v>
      </c>
      <c r="AE72" s="365" t="s">
        <v>108</v>
      </c>
      <c r="AF72" s="11" t="s">
        <v>116</v>
      </c>
      <c r="AG72" s="11" t="s">
        <v>116</v>
      </c>
      <c r="AH72" s="604" t="s">
        <v>116</v>
      </c>
      <c r="AI72" s="605" t="s">
        <v>117</v>
      </c>
      <c r="AJ72" s="11" t="s">
        <v>108</v>
      </c>
      <c r="AK72" s="11" t="s">
        <v>108</v>
      </c>
      <c r="AL72" s="507">
        <v>60</v>
      </c>
      <c r="AM72" s="501">
        <v>192</v>
      </c>
      <c r="AN72" s="501">
        <v>22</v>
      </c>
      <c r="AT72" s="132"/>
      <c r="AU72" s="132"/>
      <c r="AV72" s="132"/>
    </row>
    <row r="73" spans="2:48">
      <c r="B73" s="804"/>
      <c r="C73" s="853"/>
      <c r="D73" s="198">
        <v>2</v>
      </c>
      <c r="E73" s="358" t="s">
        <v>749</v>
      </c>
      <c r="F73" s="441" t="s">
        <v>750</v>
      </c>
      <c r="G73" s="11" t="s">
        <v>116</v>
      </c>
      <c r="H73" s="366" t="s">
        <v>117</v>
      </c>
      <c r="I73" s="366" t="s">
        <v>117</v>
      </c>
      <c r="J73" s="11" t="s">
        <v>108</v>
      </c>
      <c r="K73" s="11" t="s">
        <v>108</v>
      </c>
      <c r="L73" s="11" t="s">
        <v>116</v>
      </c>
      <c r="M73" s="11" t="s">
        <v>116</v>
      </c>
      <c r="N73" s="507">
        <v>72</v>
      </c>
      <c r="O73" s="11" t="s">
        <v>116</v>
      </c>
      <c r="P73" s="366" t="s">
        <v>117</v>
      </c>
      <c r="Q73" s="11" t="s">
        <v>108</v>
      </c>
      <c r="R73" s="11" t="s">
        <v>108</v>
      </c>
      <c r="S73" s="11" t="s">
        <v>116</v>
      </c>
      <c r="T73" s="11" t="s">
        <v>116</v>
      </c>
      <c r="U73" s="11" t="s">
        <v>116</v>
      </c>
      <c r="V73" s="507">
        <v>60</v>
      </c>
      <c r="W73" s="11" t="s">
        <v>116</v>
      </c>
      <c r="X73" s="366" t="s">
        <v>117</v>
      </c>
      <c r="Y73" s="366" t="s">
        <v>117</v>
      </c>
      <c r="Z73" s="11" t="s">
        <v>108</v>
      </c>
      <c r="AA73" s="11" t="s">
        <v>116</v>
      </c>
      <c r="AB73" s="11" t="s">
        <v>116</v>
      </c>
      <c r="AC73" s="11" t="s">
        <v>116</v>
      </c>
      <c r="AD73" s="507">
        <v>60</v>
      </c>
      <c r="AE73" s="11" t="s">
        <v>116</v>
      </c>
      <c r="AF73" s="366" t="s">
        <v>117</v>
      </c>
      <c r="AG73" s="11" t="s">
        <v>108</v>
      </c>
      <c r="AH73" s="11" t="s">
        <v>116</v>
      </c>
      <c r="AI73" s="11" t="s">
        <v>116</v>
      </c>
      <c r="AJ73" s="11" t="s">
        <v>116</v>
      </c>
      <c r="AK73" s="11" t="s">
        <v>116</v>
      </c>
      <c r="AL73" s="507">
        <v>60</v>
      </c>
      <c r="AM73" s="501">
        <v>192</v>
      </c>
      <c r="AN73" s="501">
        <v>24</v>
      </c>
      <c r="AT73" s="132"/>
      <c r="AU73" s="132"/>
      <c r="AV73" s="132"/>
    </row>
    <row r="74" spans="2:48">
      <c r="B74" s="804"/>
      <c r="C74" s="853"/>
      <c r="D74" s="198">
        <v>3</v>
      </c>
      <c r="E74" s="358" t="s">
        <v>572</v>
      </c>
      <c r="F74" s="441" t="s">
        <v>573</v>
      </c>
      <c r="G74" s="11" t="s">
        <v>108</v>
      </c>
      <c r="H74" s="11" t="s">
        <v>108</v>
      </c>
      <c r="I74" s="11" t="s">
        <v>108</v>
      </c>
      <c r="J74" s="11" t="s">
        <v>116</v>
      </c>
      <c r="K74" s="605" t="s">
        <v>117</v>
      </c>
      <c r="L74" s="604" t="s">
        <v>108</v>
      </c>
      <c r="M74" s="453" t="s">
        <v>108</v>
      </c>
      <c r="N74" s="507">
        <v>60</v>
      </c>
      <c r="O74" s="11" t="s">
        <v>108</v>
      </c>
      <c r="P74" s="11" t="s">
        <v>108</v>
      </c>
      <c r="Q74" s="366" t="s">
        <v>117</v>
      </c>
      <c r="R74" s="327" t="s">
        <v>117</v>
      </c>
      <c r="S74" s="604" t="s">
        <v>108</v>
      </c>
      <c r="T74" s="453" t="s">
        <v>108</v>
      </c>
      <c r="U74" s="453" t="s">
        <v>108</v>
      </c>
      <c r="V74" s="507">
        <v>60</v>
      </c>
      <c r="W74" s="11" t="s">
        <v>108</v>
      </c>
      <c r="X74" s="11" t="s">
        <v>108</v>
      </c>
      <c r="Y74" s="11" t="s">
        <v>108</v>
      </c>
      <c r="Z74" s="327" t="s">
        <v>117</v>
      </c>
      <c r="AA74" s="11" t="s">
        <v>108</v>
      </c>
      <c r="AB74" s="604" t="s">
        <v>108</v>
      </c>
      <c r="AC74" s="453" t="s">
        <v>108</v>
      </c>
      <c r="AD74" s="507">
        <v>60</v>
      </c>
      <c r="AE74" s="11" t="s">
        <v>108</v>
      </c>
      <c r="AF74" s="11" t="s">
        <v>108</v>
      </c>
      <c r="AG74" s="366" t="s">
        <v>117</v>
      </c>
      <c r="AH74" s="605" t="s">
        <v>117</v>
      </c>
      <c r="AI74" s="604" t="s">
        <v>108</v>
      </c>
      <c r="AJ74" s="453" t="s">
        <v>108</v>
      </c>
      <c r="AK74" s="453" t="s">
        <v>108</v>
      </c>
      <c r="AL74" s="507">
        <v>72</v>
      </c>
      <c r="AM74" s="501">
        <v>192</v>
      </c>
      <c r="AN74" s="501">
        <v>24</v>
      </c>
      <c r="AT74" s="132"/>
      <c r="AU74" s="132"/>
      <c r="AV74" s="132"/>
    </row>
    <row r="75" spans="2:48">
      <c r="B75" s="353"/>
      <c r="C75" s="353"/>
      <c r="AM75" s="500"/>
      <c r="AN75" s="353"/>
      <c r="AT75" s="132"/>
      <c r="AU75" s="132"/>
      <c r="AV75" s="132"/>
    </row>
    <row r="76" spans="2:48" ht="15" customHeight="1">
      <c r="B76" s="846" t="s">
        <v>126</v>
      </c>
      <c r="C76" s="846" t="s">
        <v>127</v>
      </c>
      <c r="D76" s="196" t="s">
        <v>101</v>
      </c>
      <c r="E76" s="196" t="s">
        <v>148</v>
      </c>
      <c r="F76" s="196" t="s">
        <v>102</v>
      </c>
      <c r="G76" s="229" t="s">
        <v>103</v>
      </c>
      <c r="H76" s="229" t="s">
        <v>104</v>
      </c>
      <c r="I76" s="229" t="s">
        <v>104</v>
      </c>
      <c r="J76" s="229" t="s">
        <v>105</v>
      </c>
      <c r="K76" s="229" t="s">
        <v>106</v>
      </c>
      <c r="L76" s="229" t="s">
        <v>107</v>
      </c>
      <c r="M76" s="229" t="s">
        <v>108</v>
      </c>
      <c r="N76" s="844" t="s">
        <v>109</v>
      </c>
      <c r="O76" s="230" t="s">
        <v>103</v>
      </c>
      <c r="P76" s="230" t="s">
        <v>104</v>
      </c>
      <c r="Q76" s="230" t="s">
        <v>104</v>
      </c>
      <c r="R76" s="230" t="s">
        <v>105</v>
      </c>
      <c r="S76" s="230" t="s">
        <v>106</v>
      </c>
      <c r="T76" s="230" t="s">
        <v>107</v>
      </c>
      <c r="U76" s="230" t="s">
        <v>108</v>
      </c>
      <c r="V76" s="844" t="s">
        <v>109</v>
      </c>
      <c r="W76" s="231" t="s">
        <v>103</v>
      </c>
      <c r="X76" s="231" t="s">
        <v>104</v>
      </c>
      <c r="Y76" s="231" t="s">
        <v>104</v>
      </c>
      <c r="Z76" s="231" t="s">
        <v>105</v>
      </c>
      <c r="AA76" s="231" t="s">
        <v>106</v>
      </c>
      <c r="AB76" s="231" t="s">
        <v>107</v>
      </c>
      <c r="AC76" s="231" t="s">
        <v>108</v>
      </c>
      <c r="AD76" s="844" t="s">
        <v>109</v>
      </c>
      <c r="AE76" s="227" t="s">
        <v>103</v>
      </c>
      <c r="AF76" s="227" t="s">
        <v>104</v>
      </c>
      <c r="AG76" s="227" t="s">
        <v>104</v>
      </c>
      <c r="AH76" s="228" t="s">
        <v>105</v>
      </c>
      <c r="AI76" s="228" t="s">
        <v>106</v>
      </c>
      <c r="AJ76" s="228" t="s">
        <v>107</v>
      </c>
      <c r="AK76" s="228" t="s">
        <v>108</v>
      </c>
      <c r="AL76" s="644" t="s">
        <v>109</v>
      </c>
      <c r="AM76" s="844" t="s">
        <v>110</v>
      </c>
      <c r="AN76" s="644" t="s">
        <v>111</v>
      </c>
      <c r="AT76" s="132"/>
      <c r="AU76" s="132"/>
      <c r="AV76" s="132"/>
    </row>
    <row r="77" spans="2:48">
      <c r="B77" s="846"/>
      <c r="C77" s="846"/>
      <c r="D77" s="196" t="s">
        <v>112</v>
      </c>
      <c r="E77" s="196" t="s">
        <v>845</v>
      </c>
      <c r="F77" s="196" t="s">
        <v>113</v>
      </c>
      <c r="G77" s="645">
        <v>7</v>
      </c>
      <c r="H77" s="645">
        <v>8</v>
      </c>
      <c r="I77" s="645">
        <v>9</v>
      </c>
      <c r="J77" s="645">
        <v>10</v>
      </c>
      <c r="K77" s="645">
        <v>11</v>
      </c>
      <c r="L77" s="645">
        <v>12</v>
      </c>
      <c r="M77" s="645">
        <v>13</v>
      </c>
      <c r="N77" s="844"/>
      <c r="O77" s="645">
        <v>14</v>
      </c>
      <c r="P77" s="645">
        <v>15</v>
      </c>
      <c r="Q77" s="645">
        <v>16</v>
      </c>
      <c r="R77" s="645">
        <v>17</v>
      </c>
      <c r="S77" s="645">
        <v>18</v>
      </c>
      <c r="T77" s="645">
        <v>19</v>
      </c>
      <c r="U77" s="645">
        <v>20</v>
      </c>
      <c r="V77" s="844"/>
      <c r="W77" s="645">
        <v>21</v>
      </c>
      <c r="X77" s="645">
        <v>22</v>
      </c>
      <c r="Y77" s="645">
        <v>23</v>
      </c>
      <c r="Z77" s="645">
        <v>24</v>
      </c>
      <c r="AA77" s="645">
        <v>25</v>
      </c>
      <c r="AB77" s="645">
        <v>26</v>
      </c>
      <c r="AC77" s="645">
        <v>27</v>
      </c>
      <c r="AD77" s="844"/>
      <c r="AE77" s="645">
        <v>28</v>
      </c>
      <c r="AF77" s="645">
        <v>29</v>
      </c>
      <c r="AG77" s="645">
        <v>30</v>
      </c>
      <c r="AH77" s="645">
        <v>1</v>
      </c>
      <c r="AI77" s="645">
        <v>2</v>
      </c>
      <c r="AJ77" s="645">
        <v>3</v>
      </c>
      <c r="AK77" s="645">
        <v>4</v>
      </c>
      <c r="AL77" s="644"/>
      <c r="AM77" s="844"/>
      <c r="AN77" s="644"/>
      <c r="AT77" s="132"/>
      <c r="AU77" s="132"/>
      <c r="AV77" s="132"/>
    </row>
    <row r="78" spans="2:48">
      <c r="B78" s="846"/>
      <c r="C78" s="846"/>
      <c r="D78" s="325" t="s">
        <v>42</v>
      </c>
      <c r="E78" s="218" t="s">
        <v>114</v>
      </c>
      <c r="F78" s="218" t="s">
        <v>115</v>
      </c>
      <c r="G78" s="645"/>
      <c r="H78" s="645"/>
      <c r="I78" s="645"/>
      <c r="J78" s="645"/>
      <c r="K78" s="645"/>
      <c r="L78" s="645"/>
      <c r="M78" s="645"/>
      <c r="N78" s="844"/>
      <c r="O78" s="645"/>
      <c r="P78" s="645"/>
      <c r="Q78" s="645"/>
      <c r="R78" s="645"/>
      <c r="S78" s="645"/>
      <c r="T78" s="645"/>
      <c r="U78" s="645"/>
      <c r="V78" s="844"/>
      <c r="W78" s="645"/>
      <c r="X78" s="645"/>
      <c r="Y78" s="645"/>
      <c r="Z78" s="645"/>
      <c r="AA78" s="645"/>
      <c r="AB78" s="645"/>
      <c r="AC78" s="645"/>
      <c r="AD78" s="844"/>
      <c r="AE78" s="645"/>
      <c r="AF78" s="645"/>
      <c r="AG78" s="645"/>
      <c r="AH78" s="645"/>
      <c r="AI78" s="645"/>
      <c r="AJ78" s="645"/>
      <c r="AK78" s="645"/>
      <c r="AL78" s="644"/>
      <c r="AM78" s="844"/>
      <c r="AN78" s="644"/>
      <c r="AT78" s="132"/>
      <c r="AU78" s="132"/>
      <c r="AV78" s="132"/>
    </row>
    <row r="79" spans="2:48">
      <c r="B79" s="349" t="s">
        <v>343</v>
      </c>
      <c r="C79" s="371" t="s">
        <v>148</v>
      </c>
      <c r="D79" s="198">
        <v>1</v>
      </c>
      <c r="E79" s="193" t="s">
        <v>574</v>
      </c>
      <c r="F79" s="193" t="s">
        <v>575</v>
      </c>
      <c r="G79" s="11" t="s">
        <v>108</v>
      </c>
      <c r="H79" s="322" t="s">
        <v>108</v>
      </c>
      <c r="I79" s="11" t="s">
        <v>108</v>
      </c>
      <c r="J79" s="11" t="s">
        <v>108</v>
      </c>
      <c r="K79" s="11" t="s">
        <v>108</v>
      </c>
      <c r="L79" s="11" t="s">
        <v>108</v>
      </c>
      <c r="M79" s="12" t="s">
        <v>117</v>
      </c>
      <c r="N79" s="521">
        <f>13*5+12</f>
        <v>77</v>
      </c>
      <c r="O79" s="11" t="s">
        <v>108</v>
      </c>
      <c r="P79" s="11" t="s">
        <v>108</v>
      </c>
      <c r="Q79" s="11" t="s">
        <v>108</v>
      </c>
      <c r="R79" s="11" t="s">
        <v>108</v>
      </c>
      <c r="S79" s="322" t="s">
        <v>108</v>
      </c>
      <c r="T79" s="12" t="s">
        <v>117</v>
      </c>
      <c r="U79" s="12" t="s">
        <v>117</v>
      </c>
      <c r="V79" s="521">
        <v>65</v>
      </c>
      <c r="W79" s="11" t="s">
        <v>108</v>
      </c>
      <c r="X79" s="11" t="s">
        <v>108</v>
      </c>
      <c r="Y79" s="11" t="s">
        <v>108</v>
      </c>
      <c r="Z79" s="11" t="s">
        <v>108</v>
      </c>
      <c r="AA79" s="322" t="s">
        <v>108</v>
      </c>
      <c r="AB79" s="322" t="s">
        <v>108</v>
      </c>
      <c r="AC79" s="12" t="s">
        <v>117</v>
      </c>
      <c r="AD79" s="521">
        <v>65</v>
      </c>
      <c r="AE79" s="11" t="s">
        <v>108</v>
      </c>
      <c r="AF79" s="11" t="s">
        <v>108</v>
      </c>
      <c r="AG79" s="11" t="s">
        <v>108</v>
      </c>
      <c r="AH79" s="11" t="s">
        <v>108</v>
      </c>
      <c r="AI79" s="322" t="s">
        <v>108</v>
      </c>
      <c r="AJ79" s="12" t="s">
        <v>117</v>
      </c>
      <c r="AK79" s="12" t="s">
        <v>117</v>
      </c>
      <c r="AL79" s="521">
        <f>13*5+12</f>
        <v>77</v>
      </c>
      <c r="AM79" s="501">
        <f>77*4</f>
        <v>308</v>
      </c>
      <c r="AN79" s="501">
        <v>22</v>
      </c>
      <c r="AT79" s="132"/>
      <c r="AU79" s="132"/>
      <c r="AV79" s="132"/>
    </row>
    <row r="80" spans="2:48">
      <c r="AM80" s="500"/>
      <c r="AN80" s="353"/>
      <c r="AT80" s="132"/>
      <c r="AU80" s="132"/>
      <c r="AV80" s="132"/>
    </row>
    <row r="81" spans="2:48" ht="15" customHeight="1">
      <c r="B81" s="847" t="s">
        <v>244</v>
      </c>
      <c r="C81" s="846" t="s">
        <v>127</v>
      </c>
      <c r="D81" s="196" t="s">
        <v>101</v>
      </c>
      <c r="E81" s="196" t="s">
        <v>251</v>
      </c>
      <c r="F81" s="196" t="s">
        <v>102</v>
      </c>
      <c r="G81" s="229" t="s">
        <v>103</v>
      </c>
      <c r="H81" s="229" t="s">
        <v>104</v>
      </c>
      <c r="I81" s="229" t="s">
        <v>104</v>
      </c>
      <c r="J81" s="229" t="s">
        <v>105</v>
      </c>
      <c r="K81" s="229" t="s">
        <v>106</v>
      </c>
      <c r="L81" s="229" t="s">
        <v>107</v>
      </c>
      <c r="M81" s="229" t="s">
        <v>108</v>
      </c>
      <c r="N81" s="844" t="s">
        <v>109</v>
      </c>
      <c r="O81" s="230" t="s">
        <v>103</v>
      </c>
      <c r="P81" s="230" t="s">
        <v>104</v>
      </c>
      <c r="Q81" s="230" t="s">
        <v>104</v>
      </c>
      <c r="R81" s="230" t="s">
        <v>105</v>
      </c>
      <c r="S81" s="230" t="s">
        <v>106</v>
      </c>
      <c r="T81" s="230" t="s">
        <v>107</v>
      </c>
      <c r="U81" s="230" t="s">
        <v>108</v>
      </c>
      <c r="V81" s="844" t="s">
        <v>109</v>
      </c>
      <c r="W81" s="231" t="s">
        <v>103</v>
      </c>
      <c r="X81" s="231" t="s">
        <v>104</v>
      </c>
      <c r="Y81" s="231" t="s">
        <v>104</v>
      </c>
      <c r="Z81" s="231" t="s">
        <v>105</v>
      </c>
      <c r="AA81" s="231" t="s">
        <v>106</v>
      </c>
      <c r="AB81" s="231" t="s">
        <v>107</v>
      </c>
      <c r="AC81" s="231" t="s">
        <v>108</v>
      </c>
      <c r="AD81" s="844" t="s">
        <v>109</v>
      </c>
      <c r="AE81" s="227" t="s">
        <v>103</v>
      </c>
      <c r="AF81" s="227" t="s">
        <v>104</v>
      </c>
      <c r="AG81" s="227" t="s">
        <v>104</v>
      </c>
      <c r="AH81" s="228" t="s">
        <v>105</v>
      </c>
      <c r="AI81" s="228" t="s">
        <v>106</v>
      </c>
      <c r="AJ81" s="228" t="s">
        <v>107</v>
      </c>
      <c r="AK81" s="228" t="s">
        <v>108</v>
      </c>
      <c r="AL81" s="644" t="s">
        <v>109</v>
      </c>
      <c r="AM81" s="844" t="s">
        <v>129</v>
      </c>
      <c r="AN81" s="644" t="s">
        <v>111</v>
      </c>
      <c r="AT81" s="132"/>
      <c r="AU81" s="132"/>
      <c r="AV81" s="132"/>
    </row>
    <row r="82" spans="2:48">
      <c r="B82" s="848"/>
      <c r="C82" s="846"/>
      <c r="D82" s="196" t="s">
        <v>112</v>
      </c>
      <c r="E82" s="196" t="s">
        <v>845</v>
      </c>
      <c r="F82" s="196" t="s">
        <v>113</v>
      </c>
      <c r="G82" s="645">
        <v>7</v>
      </c>
      <c r="H82" s="645">
        <v>8</v>
      </c>
      <c r="I82" s="645">
        <v>9</v>
      </c>
      <c r="J82" s="645">
        <v>10</v>
      </c>
      <c r="K82" s="645">
        <v>11</v>
      </c>
      <c r="L82" s="645">
        <v>12</v>
      </c>
      <c r="M82" s="645">
        <v>13</v>
      </c>
      <c r="N82" s="844"/>
      <c r="O82" s="645">
        <v>14</v>
      </c>
      <c r="P82" s="645">
        <v>15</v>
      </c>
      <c r="Q82" s="645">
        <v>16</v>
      </c>
      <c r="R82" s="645">
        <v>17</v>
      </c>
      <c r="S82" s="645">
        <v>18</v>
      </c>
      <c r="T82" s="645">
        <v>19</v>
      </c>
      <c r="U82" s="645">
        <v>20</v>
      </c>
      <c r="V82" s="844"/>
      <c r="W82" s="645">
        <v>21</v>
      </c>
      <c r="X82" s="645">
        <v>22</v>
      </c>
      <c r="Y82" s="645">
        <v>23</v>
      </c>
      <c r="Z82" s="645">
        <v>24</v>
      </c>
      <c r="AA82" s="645">
        <v>25</v>
      </c>
      <c r="AB82" s="645">
        <v>26</v>
      </c>
      <c r="AC82" s="645">
        <v>27</v>
      </c>
      <c r="AD82" s="844"/>
      <c r="AE82" s="645">
        <v>28</v>
      </c>
      <c r="AF82" s="645">
        <v>29</v>
      </c>
      <c r="AG82" s="645">
        <v>30</v>
      </c>
      <c r="AH82" s="645">
        <v>1</v>
      </c>
      <c r="AI82" s="645">
        <v>2</v>
      </c>
      <c r="AJ82" s="645">
        <v>3</v>
      </c>
      <c r="AK82" s="645">
        <v>4</v>
      </c>
      <c r="AL82" s="644"/>
      <c r="AM82" s="844"/>
      <c r="AN82" s="644"/>
      <c r="AT82" s="132"/>
      <c r="AU82" s="132"/>
      <c r="AV82" s="132"/>
    </row>
    <row r="83" spans="2:48">
      <c r="B83" s="849"/>
      <c r="C83" s="846"/>
      <c r="D83" s="325" t="s">
        <v>42</v>
      </c>
      <c r="E83" s="218" t="s">
        <v>114</v>
      </c>
      <c r="F83" s="218" t="s">
        <v>115</v>
      </c>
      <c r="G83" s="645"/>
      <c r="H83" s="645"/>
      <c r="I83" s="645"/>
      <c r="J83" s="645"/>
      <c r="K83" s="645"/>
      <c r="L83" s="645"/>
      <c r="M83" s="645"/>
      <c r="N83" s="844"/>
      <c r="O83" s="645"/>
      <c r="P83" s="645"/>
      <c r="Q83" s="645"/>
      <c r="R83" s="645"/>
      <c r="S83" s="645"/>
      <c r="T83" s="645"/>
      <c r="U83" s="645"/>
      <c r="V83" s="844"/>
      <c r="W83" s="645"/>
      <c r="X83" s="645"/>
      <c r="Y83" s="645"/>
      <c r="Z83" s="645"/>
      <c r="AA83" s="645"/>
      <c r="AB83" s="645"/>
      <c r="AC83" s="645"/>
      <c r="AD83" s="844"/>
      <c r="AE83" s="645"/>
      <c r="AF83" s="645"/>
      <c r="AG83" s="645"/>
      <c r="AH83" s="645"/>
      <c r="AI83" s="645"/>
      <c r="AJ83" s="645"/>
      <c r="AK83" s="645"/>
      <c r="AL83" s="644"/>
      <c r="AM83" s="844"/>
      <c r="AN83" s="644"/>
      <c r="AT83" s="132"/>
      <c r="AU83" s="132"/>
      <c r="AV83" s="132"/>
    </row>
    <row r="84" spans="2:48">
      <c r="B84" s="340" t="s">
        <v>252</v>
      </c>
      <c r="C84" s="367" t="s">
        <v>253</v>
      </c>
      <c r="D84" s="367">
        <v>1</v>
      </c>
      <c r="E84" s="193" t="s">
        <v>576</v>
      </c>
      <c r="F84" s="193" t="s">
        <v>577</v>
      </c>
      <c r="G84" s="11" t="s">
        <v>107</v>
      </c>
      <c r="H84" s="11" t="s">
        <v>107</v>
      </c>
      <c r="I84" s="11" t="s">
        <v>107</v>
      </c>
      <c r="J84" s="11" t="s">
        <v>107</v>
      </c>
      <c r="K84" s="11" t="s">
        <v>107</v>
      </c>
      <c r="L84" s="11" t="s">
        <v>107</v>
      </c>
      <c r="M84" s="237" t="s">
        <v>117</v>
      </c>
      <c r="N84" s="518">
        <f>10*5+8</f>
        <v>58</v>
      </c>
      <c r="O84" s="11" t="s">
        <v>107</v>
      </c>
      <c r="P84" s="11" t="s">
        <v>107</v>
      </c>
      <c r="Q84" s="11" t="s">
        <v>107</v>
      </c>
      <c r="R84" s="11" t="s">
        <v>107</v>
      </c>
      <c r="S84" s="11" t="s">
        <v>107</v>
      </c>
      <c r="T84" s="11" t="s">
        <v>107</v>
      </c>
      <c r="U84" s="237" t="s">
        <v>117</v>
      </c>
      <c r="V84" s="518">
        <f>10*5+8</f>
        <v>58</v>
      </c>
      <c r="W84" s="11" t="s">
        <v>107</v>
      </c>
      <c r="X84" s="11" t="s">
        <v>107</v>
      </c>
      <c r="Y84" s="11" t="s">
        <v>107</v>
      </c>
      <c r="Z84" s="11" t="s">
        <v>107</v>
      </c>
      <c r="AA84" s="11" t="s">
        <v>107</v>
      </c>
      <c r="AB84" s="11" t="s">
        <v>107</v>
      </c>
      <c r="AC84" s="237" t="s">
        <v>117</v>
      </c>
      <c r="AD84" s="518">
        <f>10*5+8</f>
        <v>58</v>
      </c>
      <c r="AE84" s="11" t="s">
        <v>107</v>
      </c>
      <c r="AF84" s="11" t="s">
        <v>107</v>
      </c>
      <c r="AG84" s="11" t="s">
        <v>107</v>
      </c>
      <c r="AH84" s="11" t="s">
        <v>107</v>
      </c>
      <c r="AI84" s="11" t="s">
        <v>107</v>
      </c>
      <c r="AJ84" s="11" t="s">
        <v>107</v>
      </c>
      <c r="AK84" s="237" t="s">
        <v>117</v>
      </c>
      <c r="AL84" s="518">
        <f>10*5+8</f>
        <v>58</v>
      </c>
      <c r="AM84" s="501">
        <f>50*4</f>
        <v>200</v>
      </c>
      <c r="AN84" s="501">
        <v>20</v>
      </c>
      <c r="AT84" s="132"/>
      <c r="AU84" s="132"/>
      <c r="AV84" s="132"/>
    </row>
    <row r="85" spans="2:48">
      <c r="B85" s="340" t="s">
        <v>254</v>
      </c>
      <c r="C85" s="367" t="s">
        <v>255</v>
      </c>
      <c r="D85" s="367">
        <v>2</v>
      </c>
      <c r="E85" s="193" t="s">
        <v>578</v>
      </c>
      <c r="F85" s="193" t="s">
        <v>579</v>
      </c>
      <c r="G85" s="11" t="s">
        <v>162</v>
      </c>
      <c r="H85" s="11" t="s">
        <v>162</v>
      </c>
      <c r="I85" s="11" t="s">
        <v>162</v>
      </c>
      <c r="J85" s="11" t="s">
        <v>162</v>
      </c>
      <c r="K85" s="11" t="s">
        <v>162</v>
      </c>
      <c r="L85" s="11" t="s">
        <v>162</v>
      </c>
      <c r="M85" s="12" t="s">
        <v>117</v>
      </c>
      <c r="N85" s="519">
        <f>11.5*5+10.5</f>
        <v>68</v>
      </c>
      <c r="O85" s="11" t="s">
        <v>162</v>
      </c>
      <c r="P85" s="11" t="s">
        <v>162</v>
      </c>
      <c r="Q85" s="11" t="s">
        <v>162</v>
      </c>
      <c r="R85" s="11" t="s">
        <v>162</v>
      </c>
      <c r="S85" s="11" t="s">
        <v>162</v>
      </c>
      <c r="T85" s="11" t="s">
        <v>162</v>
      </c>
      <c r="U85" s="12" t="s">
        <v>117</v>
      </c>
      <c r="V85" s="519">
        <f>11.5*5+10.5</f>
        <v>68</v>
      </c>
      <c r="W85" s="11" t="s">
        <v>162</v>
      </c>
      <c r="X85" s="11" t="s">
        <v>162</v>
      </c>
      <c r="Y85" s="11" t="s">
        <v>162</v>
      </c>
      <c r="Z85" s="11" t="s">
        <v>162</v>
      </c>
      <c r="AA85" s="11" t="s">
        <v>162</v>
      </c>
      <c r="AB85" s="11" t="s">
        <v>162</v>
      </c>
      <c r="AC85" s="12" t="s">
        <v>117</v>
      </c>
      <c r="AD85" s="519">
        <f>11.5*5+10.5</f>
        <v>68</v>
      </c>
      <c r="AE85" s="11" t="s">
        <v>162</v>
      </c>
      <c r="AF85" s="11" t="s">
        <v>162</v>
      </c>
      <c r="AG85" s="11" t="s">
        <v>162</v>
      </c>
      <c r="AH85" s="11" t="s">
        <v>162</v>
      </c>
      <c r="AI85" s="11" t="s">
        <v>162</v>
      </c>
      <c r="AJ85" s="11" t="s">
        <v>162</v>
      </c>
      <c r="AK85" s="12" t="s">
        <v>117</v>
      </c>
      <c r="AL85" s="519">
        <f>11.5*5+10.5</f>
        <v>68</v>
      </c>
      <c r="AM85" s="501">
        <f>68*4</f>
        <v>272</v>
      </c>
      <c r="AN85" s="501">
        <v>24</v>
      </c>
      <c r="AT85" s="132"/>
      <c r="AU85" s="132"/>
      <c r="AV85" s="132"/>
    </row>
    <row r="86" spans="2:48">
      <c r="B86" s="340" t="s">
        <v>256</v>
      </c>
      <c r="C86" s="367" t="s">
        <v>257</v>
      </c>
      <c r="D86" s="367">
        <v>3</v>
      </c>
      <c r="E86" s="193" t="s">
        <v>410</v>
      </c>
      <c r="F86" s="193" t="s">
        <v>580</v>
      </c>
      <c r="G86" s="12" t="s">
        <v>117</v>
      </c>
      <c r="H86" s="11" t="s">
        <v>140</v>
      </c>
      <c r="I86" s="11" t="s">
        <v>140</v>
      </c>
      <c r="J86" s="11" t="s">
        <v>140</v>
      </c>
      <c r="K86" s="11" t="s">
        <v>140</v>
      </c>
      <c r="L86" s="11" t="s">
        <v>140</v>
      </c>
      <c r="M86" s="329" t="s">
        <v>268</v>
      </c>
      <c r="N86" s="520">
        <f>12.5*5+8</f>
        <v>70.5</v>
      </c>
      <c r="O86" s="12" t="s">
        <v>117</v>
      </c>
      <c r="P86" s="11" t="s">
        <v>140</v>
      </c>
      <c r="Q86" s="11" t="s">
        <v>140</v>
      </c>
      <c r="R86" s="11" t="s">
        <v>140</v>
      </c>
      <c r="S86" s="11" t="s">
        <v>140</v>
      </c>
      <c r="T86" s="11" t="s">
        <v>140</v>
      </c>
      <c r="U86" s="329" t="s">
        <v>268</v>
      </c>
      <c r="V86" s="520">
        <f>12.5*5+8</f>
        <v>70.5</v>
      </c>
      <c r="W86" s="12" t="s">
        <v>117</v>
      </c>
      <c r="X86" s="11" t="s">
        <v>140</v>
      </c>
      <c r="Y86" s="11" t="s">
        <v>140</v>
      </c>
      <c r="Z86" s="11" t="s">
        <v>140</v>
      </c>
      <c r="AA86" s="11" t="s">
        <v>140</v>
      </c>
      <c r="AB86" s="11" t="s">
        <v>140</v>
      </c>
      <c r="AC86" s="329" t="s">
        <v>268</v>
      </c>
      <c r="AD86" s="520">
        <f>12.5*5+8</f>
        <v>70.5</v>
      </c>
      <c r="AE86" s="12" t="s">
        <v>117</v>
      </c>
      <c r="AF86" s="11" t="s">
        <v>140</v>
      </c>
      <c r="AG86" s="11" t="s">
        <v>140</v>
      </c>
      <c r="AH86" s="11" t="s">
        <v>140</v>
      </c>
      <c r="AI86" s="11" t="s">
        <v>140</v>
      </c>
      <c r="AJ86" s="11" t="s">
        <v>140</v>
      </c>
      <c r="AK86" s="329" t="s">
        <v>268</v>
      </c>
      <c r="AL86" s="520">
        <f>12.5*5+8</f>
        <v>70.5</v>
      </c>
      <c r="AM86" s="501">
        <f>62.5*4</f>
        <v>250</v>
      </c>
      <c r="AN86" s="501">
        <v>20</v>
      </c>
      <c r="AT86" s="132"/>
      <c r="AU86" s="132"/>
      <c r="AV86" s="132"/>
    </row>
    <row r="87" spans="2:48">
      <c r="B87" s="340" t="s">
        <v>258</v>
      </c>
      <c r="C87" s="367" t="s">
        <v>259</v>
      </c>
      <c r="D87" s="367">
        <v>4</v>
      </c>
      <c r="E87" s="193" t="s">
        <v>561</v>
      </c>
      <c r="F87" s="193" t="s">
        <v>581</v>
      </c>
      <c r="G87" s="11" t="s">
        <v>250</v>
      </c>
      <c r="H87" s="11" t="s">
        <v>250</v>
      </c>
      <c r="I87" s="11" t="s">
        <v>250</v>
      </c>
      <c r="J87" s="11" t="s">
        <v>250</v>
      </c>
      <c r="K87" s="11" t="s">
        <v>250</v>
      </c>
      <c r="L87" s="11" t="s">
        <v>250</v>
      </c>
      <c r="M87" s="12" t="s">
        <v>117</v>
      </c>
      <c r="N87" s="519">
        <f>10.5*5+8.5</f>
        <v>61</v>
      </c>
      <c r="O87" s="11" t="s">
        <v>250</v>
      </c>
      <c r="P87" s="11" t="s">
        <v>250</v>
      </c>
      <c r="Q87" s="11" t="s">
        <v>250</v>
      </c>
      <c r="R87" s="11" t="s">
        <v>250</v>
      </c>
      <c r="S87" s="11" t="s">
        <v>250</v>
      </c>
      <c r="T87" s="11" t="s">
        <v>250</v>
      </c>
      <c r="U87" s="12" t="s">
        <v>117</v>
      </c>
      <c r="V87" s="519">
        <f>10.5*5+8.5</f>
        <v>61</v>
      </c>
      <c r="W87" s="11" t="s">
        <v>250</v>
      </c>
      <c r="X87" s="11" t="s">
        <v>250</v>
      </c>
      <c r="Y87" s="11" t="s">
        <v>250</v>
      </c>
      <c r="Z87" s="11" t="s">
        <v>250</v>
      </c>
      <c r="AA87" s="11" t="s">
        <v>250</v>
      </c>
      <c r="AB87" s="11" t="s">
        <v>250</v>
      </c>
      <c r="AC87" s="12" t="s">
        <v>117</v>
      </c>
      <c r="AD87" s="519">
        <f>10.5*5+8.5</f>
        <v>61</v>
      </c>
      <c r="AE87" s="11" t="s">
        <v>250</v>
      </c>
      <c r="AF87" s="11" t="s">
        <v>250</v>
      </c>
      <c r="AG87" s="11" t="s">
        <v>250</v>
      </c>
      <c r="AH87" s="11" t="s">
        <v>250</v>
      </c>
      <c r="AI87" s="11" t="s">
        <v>250</v>
      </c>
      <c r="AJ87" s="11" t="s">
        <v>250</v>
      </c>
      <c r="AK87" s="12" t="s">
        <v>117</v>
      </c>
      <c r="AL87" s="519">
        <f>10.5*5+8.5</f>
        <v>61</v>
      </c>
      <c r="AM87" s="501">
        <f>62.5*4</f>
        <v>250</v>
      </c>
      <c r="AN87" s="501">
        <v>24</v>
      </c>
      <c r="AT87" s="132"/>
      <c r="AU87" s="132"/>
      <c r="AV87" s="132"/>
    </row>
    <row r="88" spans="2:48">
      <c r="B88" s="340" t="s">
        <v>258</v>
      </c>
      <c r="C88" s="367" t="s">
        <v>260</v>
      </c>
      <c r="D88" s="367">
        <v>5</v>
      </c>
      <c r="E88" s="193" t="s">
        <v>576</v>
      </c>
      <c r="F88" s="193" t="s">
        <v>806</v>
      </c>
      <c r="G88" s="11" t="s">
        <v>261</v>
      </c>
      <c r="H88" s="11" t="s">
        <v>261</v>
      </c>
      <c r="I88" s="11" t="s">
        <v>261</v>
      </c>
      <c r="J88" s="11" t="s">
        <v>261</v>
      </c>
      <c r="K88" s="11" t="s">
        <v>261</v>
      </c>
      <c r="L88" s="11" t="s">
        <v>261</v>
      </c>
      <c r="M88" s="12" t="s">
        <v>117</v>
      </c>
      <c r="N88" s="519">
        <f>10.5*5+8.5</f>
        <v>61</v>
      </c>
      <c r="O88" s="11" t="s">
        <v>261</v>
      </c>
      <c r="P88" s="11" t="s">
        <v>261</v>
      </c>
      <c r="Q88" s="11" t="s">
        <v>261</v>
      </c>
      <c r="R88" s="11" t="s">
        <v>261</v>
      </c>
      <c r="S88" s="11" t="s">
        <v>261</v>
      </c>
      <c r="T88" s="11" t="s">
        <v>261</v>
      </c>
      <c r="U88" s="12" t="s">
        <v>117</v>
      </c>
      <c r="V88" s="519">
        <f>10.5*5+8.5</f>
        <v>61</v>
      </c>
      <c r="W88" s="11" t="s">
        <v>261</v>
      </c>
      <c r="X88" s="11" t="s">
        <v>261</v>
      </c>
      <c r="Y88" s="11" t="s">
        <v>261</v>
      </c>
      <c r="Z88" s="11" t="s">
        <v>261</v>
      </c>
      <c r="AA88" s="11" t="s">
        <v>261</v>
      </c>
      <c r="AB88" s="11" t="s">
        <v>261</v>
      </c>
      <c r="AC88" s="12" t="s">
        <v>117</v>
      </c>
      <c r="AD88" s="519">
        <f>10.5*5+8.5</f>
        <v>61</v>
      </c>
      <c r="AE88" s="11" t="s">
        <v>261</v>
      </c>
      <c r="AF88" s="11" t="s">
        <v>261</v>
      </c>
      <c r="AG88" s="11" t="s">
        <v>261</v>
      </c>
      <c r="AH88" s="11" t="s">
        <v>261</v>
      </c>
      <c r="AI88" s="11" t="s">
        <v>261</v>
      </c>
      <c r="AJ88" s="11" t="s">
        <v>261</v>
      </c>
      <c r="AK88" s="12" t="s">
        <v>117</v>
      </c>
      <c r="AL88" s="519">
        <f>10.5*5+8.5</f>
        <v>61</v>
      </c>
      <c r="AM88" s="501">
        <f>61*4</f>
        <v>244</v>
      </c>
      <c r="AN88" s="501">
        <v>24</v>
      </c>
      <c r="AT88" s="132"/>
      <c r="AU88" s="132"/>
      <c r="AV88" s="132"/>
    </row>
    <row r="89" spans="2:48">
      <c r="B89" s="340" t="s">
        <v>262</v>
      </c>
      <c r="C89" s="523" t="s">
        <v>263</v>
      </c>
      <c r="D89" s="367">
        <v>6</v>
      </c>
      <c r="E89" s="193" t="s">
        <v>582</v>
      </c>
      <c r="F89" s="193" t="s">
        <v>583</v>
      </c>
      <c r="G89" s="11" t="s">
        <v>140</v>
      </c>
      <c r="H89" s="11" t="s">
        <v>140</v>
      </c>
      <c r="I89" s="11" t="s">
        <v>140</v>
      </c>
      <c r="J89" s="11" t="s">
        <v>140</v>
      </c>
      <c r="K89" s="11" t="s">
        <v>140</v>
      </c>
      <c r="L89" s="11" t="s">
        <v>105</v>
      </c>
      <c r="M89" s="12" t="s">
        <v>117</v>
      </c>
      <c r="N89" s="520">
        <f>12.5*5+11.5</f>
        <v>74</v>
      </c>
      <c r="O89" s="11" t="s">
        <v>140</v>
      </c>
      <c r="P89" s="11" t="s">
        <v>140</v>
      </c>
      <c r="Q89" s="11" t="s">
        <v>140</v>
      </c>
      <c r="R89" s="11" t="s">
        <v>140</v>
      </c>
      <c r="S89" s="11" t="s">
        <v>140</v>
      </c>
      <c r="T89" s="11" t="s">
        <v>105</v>
      </c>
      <c r="U89" s="12" t="s">
        <v>117</v>
      </c>
      <c r="V89" s="520">
        <f>12.5*5+11.5</f>
        <v>74</v>
      </c>
      <c r="W89" s="11" t="s">
        <v>140</v>
      </c>
      <c r="X89" s="11" t="s">
        <v>140</v>
      </c>
      <c r="Y89" s="11" t="s">
        <v>140</v>
      </c>
      <c r="Z89" s="11" t="s">
        <v>140</v>
      </c>
      <c r="AA89" s="11" t="s">
        <v>140</v>
      </c>
      <c r="AB89" s="11" t="s">
        <v>105</v>
      </c>
      <c r="AC89" s="12" t="s">
        <v>117</v>
      </c>
      <c r="AD89" s="520">
        <f>12.5*5+11.5</f>
        <v>74</v>
      </c>
      <c r="AE89" s="11" t="s">
        <v>140</v>
      </c>
      <c r="AF89" s="11" t="s">
        <v>140</v>
      </c>
      <c r="AG89" s="11" t="s">
        <v>140</v>
      </c>
      <c r="AH89" s="11" t="s">
        <v>140</v>
      </c>
      <c r="AI89" s="11" t="s">
        <v>140</v>
      </c>
      <c r="AJ89" s="11" t="s">
        <v>105</v>
      </c>
      <c r="AK89" s="12" t="s">
        <v>117</v>
      </c>
      <c r="AL89" s="520">
        <f>12.5*5+11.5</f>
        <v>74</v>
      </c>
      <c r="AM89" s="501">
        <f>74*4</f>
        <v>296</v>
      </c>
      <c r="AN89" s="501">
        <v>24</v>
      </c>
      <c r="AT89" s="132"/>
      <c r="AU89" s="132"/>
      <c r="AV89" s="132"/>
    </row>
    <row r="90" spans="2:48">
      <c r="AM90" s="500"/>
      <c r="AN90" s="353"/>
      <c r="AT90" s="132"/>
      <c r="AU90" s="132"/>
      <c r="AV90" s="132"/>
    </row>
    <row r="91" spans="2:48" ht="15" customHeight="1">
      <c r="B91" s="676" t="s">
        <v>126</v>
      </c>
      <c r="C91" s="842" t="s">
        <v>127</v>
      </c>
      <c r="D91" s="196" t="s">
        <v>101</v>
      </c>
      <c r="E91" s="196" t="s">
        <v>308</v>
      </c>
      <c r="F91" s="196" t="s">
        <v>102</v>
      </c>
      <c r="G91" s="229" t="s">
        <v>103</v>
      </c>
      <c r="H91" s="229" t="s">
        <v>104</v>
      </c>
      <c r="I91" s="229" t="s">
        <v>104</v>
      </c>
      <c r="J91" s="229" t="s">
        <v>105</v>
      </c>
      <c r="K91" s="229" t="s">
        <v>106</v>
      </c>
      <c r="L91" s="229" t="s">
        <v>107</v>
      </c>
      <c r="M91" s="229" t="s">
        <v>108</v>
      </c>
      <c r="N91" s="844" t="s">
        <v>109</v>
      </c>
      <c r="O91" s="230" t="s">
        <v>103</v>
      </c>
      <c r="P91" s="230" t="s">
        <v>104</v>
      </c>
      <c r="Q91" s="230" t="s">
        <v>104</v>
      </c>
      <c r="R91" s="230" t="s">
        <v>105</v>
      </c>
      <c r="S91" s="230" t="s">
        <v>106</v>
      </c>
      <c r="T91" s="230" t="s">
        <v>107</v>
      </c>
      <c r="U91" s="230" t="s">
        <v>108</v>
      </c>
      <c r="V91" s="844" t="s">
        <v>109</v>
      </c>
      <c r="W91" s="231" t="s">
        <v>103</v>
      </c>
      <c r="X91" s="231" t="s">
        <v>104</v>
      </c>
      <c r="Y91" s="231" t="s">
        <v>104</v>
      </c>
      <c r="Z91" s="231" t="s">
        <v>105</v>
      </c>
      <c r="AA91" s="231" t="s">
        <v>106</v>
      </c>
      <c r="AB91" s="231" t="s">
        <v>107</v>
      </c>
      <c r="AC91" s="231" t="s">
        <v>108</v>
      </c>
      <c r="AD91" s="844" t="s">
        <v>109</v>
      </c>
      <c r="AE91" s="227" t="s">
        <v>103</v>
      </c>
      <c r="AF91" s="227" t="s">
        <v>104</v>
      </c>
      <c r="AG91" s="227" t="s">
        <v>104</v>
      </c>
      <c r="AH91" s="228" t="s">
        <v>105</v>
      </c>
      <c r="AI91" s="228" t="s">
        <v>106</v>
      </c>
      <c r="AJ91" s="228" t="s">
        <v>107</v>
      </c>
      <c r="AK91" s="228" t="s">
        <v>108</v>
      </c>
      <c r="AL91" s="644" t="s">
        <v>109</v>
      </c>
      <c r="AM91" s="844" t="s">
        <v>129</v>
      </c>
      <c r="AN91" s="644" t="s">
        <v>111</v>
      </c>
      <c r="AT91" s="132"/>
      <c r="AU91" s="132"/>
      <c r="AV91" s="132"/>
    </row>
    <row r="92" spans="2:48">
      <c r="B92" s="676"/>
      <c r="C92" s="842"/>
      <c r="D92" s="196" t="s">
        <v>112</v>
      </c>
      <c r="E92" s="196" t="s">
        <v>845</v>
      </c>
      <c r="F92" s="196" t="s">
        <v>113</v>
      </c>
      <c r="G92" s="645">
        <v>7</v>
      </c>
      <c r="H92" s="645">
        <v>8</v>
      </c>
      <c r="I92" s="645">
        <v>9</v>
      </c>
      <c r="J92" s="645">
        <v>10</v>
      </c>
      <c r="K92" s="645">
        <v>11</v>
      </c>
      <c r="L92" s="645">
        <v>12</v>
      </c>
      <c r="M92" s="645">
        <v>13</v>
      </c>
      <c r="N92" s="844"/>
      <c r="O92" s="645">
        <v>14</v>
      </c>
      <c r="P92" s="645">
        <v>15</v>
      </c>
      <c r="Q92" s="645">
        <v>16</v>
      </c>
      <c r="R92" s="645">
        <v>17</v>
      </c>
      <c r="S92" s="645">
        <v>18</v>
      </c>
      <c r="T92" s="645">
        <v>19</v>
      </c>
      <c r="U92" s="645">
        <v>20</v>
      </c>
      <c r="V92" s="844"/>
      <c r="W92" s="645">
        <v>21</v>
      </c>
      <c r="X92" s="645">
        <v>22</v>
      </c>
      <c r="Y92" s="645">
        <v>23</v>
      </c>
      <c r="Z92" s="645">
        <v>24</v>
      </c>
      <c r="AA92" s="645">
        <v>25</v>
      </c>
      <c r="AB92" s="645">
        <v>26</v>
      </c>
      <c r="AC92" s="645">
        <v>27</v>
      </c>
      <c r="AD92" s="844"/>
      <c r="AE92" s="645">
        <v>28</v>
      </c>
      <c r="AF92" s="645">
        <v>29</v>
      </c>
      <c r="AG92" s="645">
        <v>30</v>
      </c>
      <c r="AH92" s="645">
        <v>1</v>
      </c>
      <c r="AI92" s="645">
        <v>2</v>
      </c>
      <c r="AJ92" s="645">
        <v>3</v>
      </c>
      <c r="AK92" s="645">
        <v>4</v>
      </c>
      <c r="AL92" s="644"/>
      <c r="AM92" s="844"/>
      <c r="AN92" s="644"/>
      <c r="AT92" s="132"/>
      <c r="AU92" s="132"/>
      <c r="AV92" s="132"/>
    </row>
    <row r="93" spans="2:48">
      <c r="B93" s="676"/>
      <c r="C93" s="842"/>
      <c r="D93" s="325" t="s">
        <v>42</v>
      </c>
      <c r="E93" s="218" t="s">
        <v>114</v>
      </c>
      <c r="F93" s="218" t="s">
        <v>115</v>
      </c>
      <c r="G93" s="645"/>
      <c r="H93" s="645"/>
      <c r="I93" s="645"/>
      <c r="J93" s="645"/>
      <c r="K93" s="645"/>
      <c r="L93" s="645"/>
      <c r="M93" s="645"/>
      <c r="N93" s="844"/>
      <c r="O93" s="645"/>
      <c r="P93" s="645"/>
      <c r="Q93" s="645"/>
      <c r="R93" s="645"/>
      <c r="S93" s="645"/>
      <c r="T93" s="645"/>
      <c r="U93" s="645"/>
      <c r="V93" s="844"/>
      <c r="W93" s="645"/>
      <c r="X93" s="645"/>
      <c r="Y93" s="645"/>
      <c r="Z93" s="645"/>
      <c r="AA93" s="645"/>
      <c r="AB93" s="645"/>
      <c r="AC93" s="645"/>
      <c r="AD93" s="844"/>
      <c r="AE93" s="645"/>
      <c r="AF93" s="645"/>
      <c r="AG93" s="645"/>
      <c r="AH93" s="645"/>
      <c r="AI93" s="645"/>
      <c r="AJ93" s="645"/>
      <c r="AK93" s="645"/>
      <c r="AL93" s="644"/>
      <c r="AM93" s="844"/>
      <c r="AN93" s="644"/>
      <c r="AT93" s="132"/>
      <c r="AU93" s="132"/>
      <c r="AV93" s="132"/>
    </row>
    <row r="94" spans="2:48">
      <c r="B94" s="662" t="s">
        <v>246</v>
      </c>
      <c r="C94" s="845" t="s">
        <v>247</v>
      </c>
      <c r="D94" s="198">
        <v>1</v>
      </c>
      <c r="E94" s="622" t="s">
        <v>756</v>
      </c>
      <c r="F94" s="622" t="s">
        <v>757</v>
      </c>
      <c r="G94" s="11" t="s">
        <v>108</v>
      </c>
      <c r="H94" s="322" t="s">
        <v>116</v>
      </c>
      <c r="I94" s="11" t="s">
        <v>116</v>
      </c>
      <c r="J94" s="35" t="s">
        <v>117</v>
      </c>
      <c r="K94" s="35" t="s">
        <v>117</v>
      </c>
      <c r="L94" s="11" t="s">
        <v>108</v>
      </c>
      <c r="M94" s="322" t="s">
        <v>108</v>
      </c>
      <c r="N94" s="507">
        <v>60</v>
      </c>
      <c r="O94" s="11" t="s">
        <v>108</v>
      </c>
      <c r="P94" s="11" t="s">
        <v>116</v>
      </c>
      <c r="Q94" s="11" t="s">
        <v>116</v>
      </c>
      <c r="R94" s="322" t="s">
        <v>116</v>
      </c>
      <c r="S94" s="35" t="s">
        <v>117</v>
      </c>
      <c r="T94" s="322" t="s">
        <v>108</v>
      </c>
      <c r="U94" s="11" t="s">
        <v>108</v>
      </c>
      <c r="V94" s="507">
        <v>72</v>
      </c>
      <c r="W94" s="11" t="s">
        <v>116</v>
      </c>
      <c r="X94" s="322" t="s">
        <v>116</v>
      </c>
      <c r="Y94" s="11" t="s">
        <v>116</v>
      </c>
      <c r="Z94" s="35" t="s">
        <v>117</v>
      </c>
      <c r="AA94" s="35" t="s">
        <v>117</v>
      </c>
      <c r="AB94" s="11" t="s">
        <v>108</v>
      </c>
      <c r="AC94" s="322" t="s">
        <v>108</v>
      </c>
      <c r="AD94" s="507">
        <v>60</v>
      </c>
      <c r="AE94" s="11" t="s">
        <v>108</v>
      </c>
      <c r="AF94" s="11" t="s">
        <v>116</v>
      </c>
      <c r="AG94" s="11" t="s">
        <v>116</v>
      </c>
      <c r="AH94" s="322" t="s">
        <v>116</v>
      </c>
      <c r="AI94" s="35" t="s">
        <v>117</v>
      </c>
      <c r="AJ94" s="322" t="s">
        <v>108</v>
      </c>
      <c r="AK94" s="11" t="s">
        <v>108</v>
      </c>
      <c r="AL94" s="507">
        <v>72</v>
      </c>
      <c r="AM94" s="501">
        <v>264</v>
      </c>
      <c r="AN94" s="501">
        <v>22</v>
      </c>
      <c r="AT94" s="132"/>
      <c r="AU94" s="132"/>
      <c r="AV94" s="132"/>
    </row>
    <row r="95" spans="2:48">
      <c r="B95" s="662"/>
      <c r="C95" s="845"/>
      <c r="D95" s="198">
        <v>2</v>
      </c>
      <c r="E95" s="358" t="s">
        <v>758</v>
      </c>
      <c r="F95" s="358" t="s">
        <v>759</v>
      </c>
      <c r="G95" s="11" t="s">
        <v>116</v>
      </c>
      <c r="H95" s="35" t="s">
        <v>117</v>
      </c>
      <c r="I95" s="11" t="s">
        <v>108</v>
      </c>
      <c r="J95" s="11" t="s">
        <v>108</v>
      </c>
      <c r="K95" s="322" t="s">
        <v>108</v>
      </c>
      <c r="L95" s="322" t="s">
        <v>116</v>
      </c>
      <c r="M95" s="322" t="s">
        <v>116</v>
      </c>
      <c r="N95" s="507">
        <v>72</v>
      </c>
      <c r="O95" s="11" t="s">
        <v>116</v>
      </c>
      <c r="P95" s="35" t="s">
        <v>117</v>
      </c>
      <c r="Q95" s="322" t="s">
        <v>108</v>
      </c>
      <c r="R95" s="322" t="s">
        <v>108</v>
      </c>
      <c r="S95" s="322" t="s">
        <v>108</v>
      </c>
      <c r="T95" s="11" t="s">
        <v>116</v>
      </c>
      <c r="U95" s="11" t="s">
        <v>116</v>
      </c>
      <c r="V95" s="507">
        <v>60</v>
      </c>
      <c r="W95" s="35" t="s">
        <v>117</v>
      </c>
      <c r="X95" s="35" t="s">
        <v>117</v>
      </c>
      <c r="Y95" s="11" t="s">
        <v>108</v>
      </c>
      <c r="Z95" s="322" t="s">
        <v>108</v>
      </c>
      <c r="AA95" s="322" t="s">
        <v>108</v>
      </c>
      <c r="AB95" s="11" t="s">
        <v>116</v>
      </c>
      <c r="AC95" s="11" t="s">
        <v>116</v>
      </c>
      <c r="AD95" s="507">
        <v>60</v>
      </c>
      <c r="AE95" s="11" t="s">
        <v>116</v>
      </c>
      <c r="AF95" s="35" t="s">
        <v>117</v>
      </c>
      <c r="AG95" s="322" t="s">
        <v>108</v>
      </c>
      <c r="AH95" s="322" t="s">
        <v>108</v>
      </c>
      <c r="AI95" s="322" t="s">
        <v>108</v>
      </c>
      <c r="AJ95" s="11" t="s">
        <v>116</v>
      </c>
      <c r="AK95" s="11" t="s">
        <v>116</v>
      </c>
      <c r="AL95" s="507">
        <v>72</v>
      </c>
      <c r="AM95" s="501">
        <v>264</v>
      </c>
      <c r="AN95" s="501">
        <v>22</v>
      </c>
      <c r="AT95" s="132"/>
      <c r="AU95" s="132"/>
      <c r="AV95" s="132"/>
    </row>
    <row r="96" spans="2:48">
      <c r="B96" s="662"/>
      <c r="C96" s="845"/>
      <c r="D96" s="198">
        <v>3</v>
      </c>
      <c r="E96" s="193" t="s">
        <v>587</v>
      </c>
      <c r="F96" s="193" t="s">
        <v>588</v>
      </c>
      <c r="G96" s="35" t="s">
        <v>117</v>
      </c>
      <c r="H96" s="11" t="s">
        <v>108</v>
      </c>
      <c r="I96" s="11" t="s">
        <v>108</v>
      </c>
      <c r="J96" s="11" t="s">
        <v>116</v>
      </c>
      <c r="K96" s="322" t="s">
        <v>116</v>
      </c>
      <c r="L96" s="322" t="s">
        <v>116</v>
      </c>
      <c r="M96" s="35" t="s">
        <v>117</v>
      </c>
      <c r="N96" s="507">
        <v>60</v>
      </c>
      <c r="O96" s="35" t="s">
        <v>117</v>
      </c>
      <c r="P96" s="11" t="s">
        <v>108</v>
      </c>
      <c r="Q96" s="11" t="s">
        <v>108</v>
      </c>
      <c r="R96" s="11" t="s">
        <v>116</v>
      </c>
      <c r="S96" s="11" t="s">
        <v>116</v>
      </c>
      <c r="T96" s="322" t="s">
        <v>116</v>
      </c>
      <c r="U96" s="35" t="s">
        <v>117</v>
      </c>
      <c r="V96" s="507">
        <v>60</v>
      </c>
      <c r="W96" s="322" t="s">
        <v>108</v>
      </c>
      <c r="X96" s="322" t="s">
        <v>108</v>
      </c>
      <c r="Y96" s="11" t="s">
        <v>108</v>
      </c>
      <c r="Z96" s="11" t="s">
        <v>116</v>
      </c>
      <c r="AA96" s="11" t="s">
        <v>116</v>
      </c>
      <c r="AB96" s="11" t="s">
        <v>116</v>
      </c>
      <c r="AC96" s="35" t="s">
        <v>117</v>
      </c>
      <c r="AD96" s="507">
        <v>72</v>
      </c>
      <c r="AE96" s="34" t="s">
        <v>108</v>
      </c>
      <c r="AF96" s="11" t="s">
        <v>108</v>
      </c>
      <c r="AG96" s="11" t="s">
        <v>108</v>
      </c>
      <c r="AH96" s="11" t="s">
        <v>108</v>
      </c>
      <c r="AI96" s="11" t="s">
        <v>116</v>
      </c>
      <c r="AJ96" s="322" t="s">
        <v>116</v>
      </c>
      <c r="AK96" s="35" t="s">
        <v>117</v>
      </c>
      <c r="AL96" s="507">
        <v>72</v>
      </c>
      <c r="AM96" s="501">
        <v>264</v>
      </c>
      <c r="AN96" s="501">
        <v>22</v>
      </c>
      <c r="AT96" s="132"/>
      <c r="AU96" s="132"/>
      <c r="AV96" s="132"/>
    </row>
    <row r="97" spans="2:48">
      <c r="B97" s="662" t="s">
        <v>246</v>
      </c>
      <c r="C97" s="845" t="s">
        <v>248</v>
      </c>
      <c r="D97" s="198">
        <v>4</v>
      </c>
      <c r="E97" s="193" t="s">
        <v>584</v>
      </c>
      <c r="F97" s="193" t="s">
        <v>831</v>
      </c>
      <c r="G97" s="11" t="s">
        <v>108</v>
      </c>
      <c r="H97" s="11" t="s">
        <v>108</v>
      </c>
      <c r="I97" s="11" t="s">
        <v>116</v>
      </c>
      <c r="J97" s="11" t="s">
        <v>116</v>
      </c>
      <c r="K97" s="322" t="s">
        <v>116</v>
      </c>
      <c r="L97" s="35" t="s">
        <v>117</v>
      </c>
      <c r="M97" s="11" t="s">
        <v>108</v>
      </c>
      <c r="N97" s="507">
        <v>72</v>
      </c>
      <c r="O97" s="11" t="s">
        <v>108</v>
      </c>
      <c r="P97" s="11" t="s">
        <v>108</v>
      </c>
      <c r="Q97" s="11" t="s">
        <v>116</v>
      </c>
      <c r="R97" s="517" t="s">
        <v>117</v>
      </c>
      <c r="S97" s="11" t="s">
        <v>116</v>
      </c>
      <c r="T97" s="35" t="s">
        <v>117</v>
      </c>
      <c r="U97" s="11" t="s">
        <v>108</v>
      </c>
      <c r="V97" s="507">
        <v>72</v>
      </c>
      <c r="W97" s="11" t="s">
        <v>108</v>
      </c>
      <c r="X97" s="11" t="s">
        <v>108</v>
      </c>
      <c r="Y97" s="11" t="s">
        <v>116</v>
      </c>
      <c r="Z97" s="11" t="s">
        <v>116</v>
      </c>
      <c r="AA97" s="322" t="s">
        <v>116</v>
      </c>
      <c r="AB97" s="35" t="s">
        <v>117</v>
      </c>
      <c r="AC97" s="322" t="s">
        <v>108</v>
      </c>
      <c r="AD97" s="507">
        <v>72</v>
      </c>
      <c r="AE97" s="328" t="s">
        <v>117</v>
      </c>
      <c r="AF97" s="11" t="s">
        <v>108</v>
      </c>
      <c r="AG97" s="11" t="s">
        <v>116</v>
      </c>
      <c r="AH97" s="11" t="s">
        <v>116</v>
      </c>
      <c r="AI97" s="11" t="s">
        <v>116</v>
      </c>
      <c r="AJ97" s="35" t="s">
        <v>117</v>
      </c>
      <c r="AK97" s="11" t="s">
        <v>108</v>
      </c>
      <c r="AL97" s="507">
        <v>60</v>
      </c>
      <c r="AM97" s="501">
        <v>275</v>
      </c>
      <c r="AN97" s="501">
        <v>23</v>
      </c>
      <c r="AT97" s="132"/>
      <c r="AU97" s="132"/>
      <c r="AV97" s="132"/>
    </row>
    <row r="98" spans="2:48">
      <c r="B98" s="662"/>
      <c r="C98" s="845"/>
      <c r="D98" s="198">
        <v>5</v>
      </c>
      <c r="E98" s="193" t="s">
        <v>585</v>
      </c>
      <c r="F98" s="193" t="s">
        <v>586</v>
      </c>
      <c r="G98" s="11" t="s">
        <v>116</v>
      </c>
      <c r="H98" s="322" t="s">
        <v>116</v>
      </c>
      <c r="I98" s="35" t="s">
        <v>117</v>
      </c>
      <c r="J98" s="11" t="s">
        <v>108</v>
      </c>
      <c r="K98" s="11" t="s">
        <v>108</v>
      </c>
      <c r="L98" s="322" t="s">
        <v>108</v>
      </c>
      <c r="M98" s="322" t="s">
        <v>116</v>
      </c>
      <c r="N98" s="507">
        <v>72</v>
      </c>
      <c r="O98" s="11" t="s">
        <v>116</v>
      </c>
      <c r="P98" s="11" t="s">
        <v>116</v>
      </c>
      <c r="Q98" s="35" t="s">
        <v>117</v>
      </c>
      <c r="R98" s="34" t="s">
        <v>108</v>
      </c>
      <c r="S98" s="322" t="s">
        <v>108</v>
      </c>
      <c r="T98" s="322" t="s">
        <v>108</v>
      </c>
      <c r="U98" s="11" t="s">
        <v>116</v>
      </c>
      <c r="V98" s="507">
        <v>60</v>
      </c>
      <c r="W98" s="11" t="s">
        <v>116</v>
      </c>
      <c r="X98" s="322" t="s">
        <v>116</v>
      </c>
      <c r="Y98" s="35" t="s">
        <v>117</v>
      </c>
      <c r="Z98" s="11" t="s">
        <v>108</v>
      </c>
      <c r="AA98" s="11" t="s">
        <v>108</v>
      </c>
      <c r="AB98" s="322" t="s">
        <v>108</v>
      </c>
      <c r="AC98" s="322" t="s">
        <v>116</v>
      </c>
      <c r="AD98" s="507">
        <v>72</v>
      </c>
      <c r="AE98" s="11" t="s">
        <v>116</v>
      </c>
      <c r="AF98" s="11" t="s">
        <v>116</v>
      </c>
      <c r="AG98" s="35" t="s">
        <v>117</v>
      </c>
      <c r="AH98" s="35" t="s">
        <v>117</v>
      </c>
      <c r="AI98" s="322" t="s">
        <v>108</v>
      </c>
      <c r="AJ98" s="322" t="s">
        <v>108</v>
      </c>
      <c r="AK98" s="11" t="s">
        <v>116</v>
      </c>
      <c r="AL98" s="507">
        <v>60</v>
      </c>
      <c r="AM98" s="501">
        <v>264</v>
      </c>
      <c r="AN98" s="501">
        <v>22</v>
      </c>
      <c r="AT98" s="132"/>
      <c r="AU98" s="132"/>
      <c r="AV98" s="132"/>
    </row>
    <row r="99" spans="2:48">
      <c r="B99" s="337" t="s">
        <v>249</v>
      </c>
      <c r="C99" s="374" t="s">
        <v>141</v>
      </c>
      <c r="D99" s="198">
        <v>6</v>
      </c>
      <c r="E99" s="358" t="s">
        <v>589</v>
      </c>
      <c r="F99" s="358" t="s">
        <v>760</v>
      </c>
      <c r="G99" s="320" t="s">
        <v>162</v>
      </c>
      <c r="H99" s="320" t="s">
        <v>162</v>
      </c>
      <c r="I99" s="320" t="s">
        <v>162</v>
      </c>
      <c r="J99" s="320" t="s">
        <v>162</v>
      </c>
      <c r="K99" s="320" t="s">
        <v>162</v>
      </c>
      <c r="L99" s="232" t="s">
        <v>106</v>
      </c>
      <c r="M99" s="35" t="s">
        <v>117</v>
      </c>
      <c r="N99" s="507">
        <v>57</v>
      </c>
      <c r="O99" s="320" t="s">
        <v>162</v>
      </c>
      <c r="P99" s="320" t="s">
        <v>162</v>
      </c>
      <c r="Q99" s="320" t="s">
        <v>162</v>
      </c>
      <c r="R99" s="320" t="s">
        <v>162</v>
      </c>
      <c r="S99" s="320" t="s">
        <v>162</v>
      </c>
      <c r="T99" s="232" t="s">
        <v>106</v>
      </c>
      <c r="U99" s="35" t="s">
        <v>117</v>
      </c>
      <c r="V99" s="507">
        <v>57</v>
      </c>
      <c r="W99" s="320" t="s">
        <v>162</v>
      </c>
      <c r="X99" s="320" t="s">
        <v>162</v>
      </c>
      <c r="Y99" s="320" t="s">
        <v>162</v>
      </c>
      <c r="Z99" s="320" t="s">
        <v>162</v>
      </c>
      <c r="AA99" s="320" t="s">
        <v>162</v>
      </c>
      <c r="AB99" s="232" t="s">
        <v>106</v>
      </c>
      <c r="AC99" s="35" t="s">
        <v>117</v>
      </c>
      <c r="AD99" s="507">
        <v>57</v>
      </c>
      <c r="AE99" s="320" t="s">
        <v>162</v>
      </c>
      <c r="AF99" s="320" t="s">
        <v>162</v>
      </c>
      <c r="AG99" s="320" t="s">
        <v>162</v>
      </c>
      <c r="AH99" s="320" t="s">
        <v>162</v>
      </c>
      <c r="AI99" s="320" t="s">
        <v>162</v>
      </c>
      <c r="AJ99" s="232" t="s">
        <v>106</v>
      </c>
      <c r="AK99" s="35" t="s">
        <v>117</v>
      </c>
      <c r="AL99" s="507">
        <v>57</v>
      </c>
      <c r="AM99" s="501">
        <f>60*4</f>
        <v>240</v>
      </c>
      <c r="AN99" s="501">
        <v>20</v>
      </c>
      <c r="AT99" s="132"/>
      <c r="AU99" s="132"/>
      <c r="AV99" s="132"/>
    </row>
    <row r="100" spans="2:48">
      <c r="B100" s="353"/>
      <c r="C100" s="375"/>
      <c r="AM100" s="500"/>
      <c r="AN100" s="353"/>
      <c r="AT100" s="132"/>
      <c r="AU100" s="132"/>
      <c r="AV100" s="132"/>
    </row>
    <row r="101" spans="2:48" ht="15" customHeight="1">
      <c r="B101" s="839" t="s">
        <v>265</v>
      </c>
      <c r="C101" s="842" t="s">
        <v>245</v>
      </c>
      <c r="D101" s="196" t="s">
        <v>101</v>
      </c>
      <c r="E101" s="196" t="s">
        <v>264</v>
      </c>
      <c r="F101" s="196" t="s">
        <v>102</v>
      </c>
      <c r="G101" s="229" t="s">
        <v>103</v>
      </c>
      <c r="H101" s="229" t="s">
        <v>104</v>
      </c>
      <c r="I101" s="229" t="s">
        <v>104</v>
      </c>
      <c r="J101" s="229" t="s">
        <v>105</v>
      </c>
      <c r="K101" s="229" t="s">
        <v>106</v>
      </c>
      <c r="L101" s="229" t="s">
        <v>107</v>
      </c>
      <c r="M101" s="229" t="s">
        <v>108</v>
      </c>
      <c r="N101" s="844" t="s">
        <v>109</v>
      </c>
      <c r="O101" s="230" t="s">
        <v>103</v>
      </c>
      <c r="P101" s="230" t="s">
        <v>104</v>
      </c>
      <c r="Q101" s="230" t="s">
        <v>104</v>
      </c>
      <c r="R101" s="230" t="s">
        <v>105</v>
      </c>
      <c r="S101" s="230" t="s">
        <v>106</v>
      </c>
      <c r="T101" s="230" t="s">
        <v>107</v>
      </c>
      <c r="U101" s="230" t="s">
        <v>108</v>
      </c>
      <c r="V101" s="844" t="s">
        <v>109</v>
      </c>
      <c r="W101" s="231" t="s">
        <v>103</v>
      </c>
      <c r="X101" s="231" t="s">
        <v>104</v>
      </c>
      <c r="Y101" s="231" t="s">
        <v>104</v>
      </c>
      <c r="Z101" s="231" t="s">
        <v>105</v>
      </c>
      <c r="AA101" s="231" t="s">
        <v>106</v>
      </c>
      <c r="AB101" s="231" t="s">
        <v>107</v>
      </c>
      <c r="AC101" s="231" t="s">
        <v>108</v>
      </c>
      <c r="AD101" s="844" t="s">
        <v>109</v>
      </c>
      <c r="AE101" s="227" t="s">
        <v>103</v>
      </c>
      <c r="AF101" s="227" t="s">
        <v>104</v>
      </c>
      <c r="AG101" s="227" t="s">
        <v>104</v>
      </c>
      <c r="AH101" s="228" t="s">
        <v>105</v>
      </c>
      <c r="AI101" s="228" t="s">
        <v>106</v>
      </c>
      <c r="AJ101" s="228" t="s">
        <v>107</v>
      </c>
      <c r="AK101" s="228" t="s">
        <v>108</v>
      </c>
      <c r="AL101" s="644" t="s">
        <v>109</v>
      </c>
      <c r="AM101" s="844" t="s">
        <v>129</v>
      </c>
      <c r="AN101" s="644" t="s">
        <v>111</v>
      </c>
      <c r="AT101" s="132"/>
      <c r="AU101" s="132"/>
      <c r="AV101" s="132"/>
    </row>
    <row r="102" spans="2:48">
      <c r="B102" s="840"/>
      <c r="C102" s="842"/>
      <c r="D102" s="196" t="s">
        <v>112</v>
      </c>
      <c r="E102" s="196" t="s">
        <v>845</v>
      </c>
      <c r="F102" s="196" t="s">
        <v>113</v>
      </c>
      <c r="G102" s="645">
        <v>7</v>
      </c>
      <c r="H102" s="645">
        <v>8</v>
      </c>
      <c r="I102" s="645">
        <v>9</v>
      </c>
      <c r="J102" s="645">
        <v>10</v>
      </c>
      <c r="K102" s="645">
        <v>11</v>
      </c>
      <c r="L102" s="645">
        <v>12</v>
      </c>
      <c r="M102" s="645">
        <v>13</v>
      </c>
      <c r="N102" s="844"/>
      <c r="O102" s="645">
        <v>14</v>
      </c>
      <c r="P102" s="645">
        <v>15</v>
      </c>
      <c r="Q102" s="645">
        <v>16</v>
      </c>
      <c r="R102" s="645">
        <v>17</v>
      </c>
      <c r="S102" s="645">
        <v>18</v>
      </c>
      <c r="T102" s="645">
        <v>19</v>
      </c>
      <c r="U102" s="645">
        <v>20</v>
      </c>
      <c r="V102" s="844"/>
      <c r="W102" s="645">
        <v>21</v>
      </c>
      <c r="X102" s="645">
        <v>22</v>
      </c>
      <c r="Y102" s="645">
        <v>23</v>
      </c>
      <c r="Z102" s="645">
        <v>24</v>
      </c>
      <c r="AA102" s="645">
        <v>25</v>
      </c>
      <c r="AB102" s="645">
        <v>26</v>
      </c>
      <c r="AC102" s="645">
        <v>27</v>
      </c>
      <c r="AD102" s="844"/>
      <c r="AE102" s="645">
        <v>28</v>
      </c>
      <c r="AF102" s="645">
        <v>29</v>
      </c>
      <c r="AG102" s="645">
        <v>30</v>
      </c>
      <c r="AH102" s="645">
        <v>1</v>
      </c>
      <c r="AI102" s="645">
        <v>2</v>
      </c>
      <c r="AJ102" s="645">
        <v>3</v>
      </c>
      <c r="AK102" s="645">
        <v>4</v>
      </c>
      <c r="AL102" s="644"/>
      <c r="AM102" s="844"/>
      <c r="AN102" s="644"/>
      <c r="AT102" s="132"/>
      <c r="AU102" s="132"/>
      <c r="AV102" s="132"/>
    </row>
    <row r="103" spans="2:48">
      <c r="B103" s="841"/>
      <c r="C103" s="842"/>
      <c r="D103" s="324"/>
      <c r="E103" s="218" t="s">
        <v>114</v>
      </c>
      <c r="F103" s="218" t="s">
        <v>115</v>
      </c>
      <c r="G103" s="645"/>
      <c r="H103" s="645"/>
      <c r="I103" s="645"/>
      <c r="J103" s="645"/>
      <c r="K103" s="645"/>
      <c r="L103" s="645"/>
      <c r="M103" s="645"/>
      <c r="N103" s="844"/>
      <c r="O103" s="645"/>
      <c r="P103" s="645"/>
      <c r="Q103" s="645"/>
      <c r="R103" s="645"/>
      <c r="S103" s="645"/>
      <c r="T103" s="645"/>
      <c r="U103" s="645"/>
      <c r="V103" s="844"/>
      <c r="W103" s="645"/>
      <c r="X103" s="645"/>
      <c r="Y103" s="645"/>
      <c r="Z103" s="645"/>
      <c r="AA103" s="645"/>
      <c r="AB103" s="645"/>
      <c r="AC103" s="645"/>
      <c r="AD103" s="844"/>
      <c r="AE103" s="645"/>
      <c r="AF103" s="645"/>
      <c r="AG103" s="645"/>
      <c r="AH103" s="645"/>
      <c r="AI103" s="645"/>
      <c r="AJ103" s="645"/>
      <c r="AK103" s="645"/>
      <c r="AL103" s="644"/>
      <c r="AM103" s="844"/>
      <c r="AN103" s="644"/>
      <c r="AT103" s="132"/>
      <c r="AU103" s="132"/>
      <c r="AV103" s="132"/>
    </row>
    <row r="104" spans="2:48">
      <c r="B104" s="821"/>
      <c r="C104" s="843" t="s">
        <v>266</v>
      </c>
      <c r="D104" s="367">
        <v>1</v>
      </c>
      <c r="E104" s="358" t="s">
        <v>761</v>
      </c>
      <c r="F104" s="358" t="s">
        <v>267</v>
      </c>
      <c r="G104" s="11" t="s">
        <v>108</v>
      </c>
      <c r="H104" s="11" t="s">
        <v>108</v>
      </c>
      <c r="I104" s="11" t="s">
        <v>108</v>
      </c>
      <c r="J104" s="11" t="s">
        <v>108</v>
      </c>
      <c r="K104" s="11" t="s">
        <v>108</v>
      </c>
      <c r="L104" s="237" t="s">
        <v>117</v>
      </c>
      <c r="M104" s="237" t="s">
        <v>117</v>
      </c>
      <c r="N104" s="503">
        <v>60</v>
      </c>
      <c r="O104" s="11" t="s">
        <v>108</v>
      </c>
      <c r="P104" s="11" t="s">
        <v>108</v>
      </c>
      <c r="Q104" s="11" t="s">
        <v>108</v>
      </c>
      <c r="R104" s="11" t="s">
        <v>108</v>
      </c>
      <c r="S104" s="11" t="s">
        <v>108</v>
      </c>
      <c r="T104" s="237" t="s">
        <v>117</v>
      </c>
      <c r="U104" s="237" t="s">
        <v>117</v>
      </c>
      <c r="V104" s="503">
        <v>60</v>
      </c>
      <c r="W104" s="11" t="s">
        <v>108</v>
      </c>
      <c r="X104" s="11" t="s">
        <v>108</v>
      </c>
      <c r="Y104" s="11" t="s">
        <v>108</v>
      </c>
      <c r="Z104" s="11" t="s">
        <v>108</v>
      </c>
      <c r="AA104" s="11" t="s">
        <v>108</v>
      </c>
      <c r="AB104" s="237" t="s">
        <v>117</v>
      </c>
      <c r="AC104" s="237" t="s">
        <v>117</v>
      </c>
      <c r="AD104" s="503">
        <v>60</v>
      </c>
      <c r="AE104" s="11" t="s">
        <v>108</v>
      </c>
      <c r="AF104" s="11" t="s">
        <v>108</v>
      </c>
      <c r="AG104" s="11" t="s">
        <v>108</v>
      </c>
      <c r="AH104" s="11" t="s">
        <v>108</v>
      </c>
      <c r="AI104" s="11" t="s">
        <v>108</v>
      </c>
      <c r="AJ104" s="237" t="s">
        <v>117</v>
      </c>
      <c r="AK104" s="237" t="s">
        <v>117</v>
      </c>
      <c r="AL104" s="503">
        <v>60</v>
      </c>
      <c r="AM104" s="501">
        <f>60*4</f>
        <v>240</v>
      </c>
      <c r="AN104" s="501">
        <v>20</v>
      </c>
      <c r="AT104" s="132"/>
      <c r="AU104" s="132"/>
      <c r="AV104" s="132"/>
    </row>
    <row r="105" spans="2:48">
      <c r="B105" s="821"/>
      <c r="C105" s="843"/>
      <c r="D105" s="367">
        <v>2</v>
      </c>
      <c r="E105" s="358" t="s">
        <v>804</v>
      </c>
      <c r="F105" s="358" t="s">
        <v>805</v>
      </c>
      <c r="G105" s="237" t="s">
        <v>117</v>
      </c>
      <c r="H105" s="237" t="s">
        <v>117</v>
      </c>
      <c r="I105" s="237" t="s">
        <v>117</v>
      </c>
      <c r="J105" s="237" t="s">
        <v>117</v>
      </c>
      <c r="K105" s="237" t="s">
        <v>117</v>
      </c>
      <c r="L105" s="11" t="s">
        <v>108</v>
      </c>
      <c r="M105" s="11" t="s">
        <v>108</v>
      </c>
      <c r="N105" s="503">
        <v>24</v>
      </c>
      <c r="O105" s="237" t="s">
        <v>117</v>
      </c>
      <c r="P105" s="237" t="s">
        <v>117</v>
      </c>
      <c r="Q105" s="237" t="s">
        <v>117</v>
      </c>
      <c r="R105" s="237" t="s">
        <v>117</v>
      </c>
      <c r="S105" s="237" t="s">
        <v>117</v>
      </c>
      <c r="T105" s="11" t="s">
        <v>108</v>
      </c>
      <c r="U105" s="11" t="s">
        <v>108</v>
      </c>
      <c r="V105" s="503">
        <v>24</v>
      </c>
      <c r="W105" s="237" t="s">
        <v>117</v>
      </c>
      <c r="X105" s="237" t="s">
        <v>117</v>
      </c>
      <c r="Y105" s="237" t="s">
        <v>117</v>
      </c>
      <c r="Z105" s="237" t="s">
        <v>117</v>
      </c>
      <c r="AA105" s="237" t="s">
        <v>117</v>
      </c>
      <c r="AB105" s="11" t="s">
        <v>108</v>
      </c>
      <c r="AC105" s="11" t="s">
        <v>108</v>
      </c>
      <c r="AD105" s="503">
        <v>24</v>
      </c>
      <c r="AE105" s="237" t="s">
        <v>117</v>
      </c>
      <c r="AF105" s="237" t="s">
        <v>117</v>
      </c>
      <c r="AG105" s="237" t="s">
        <v>117</v>
      </c>
      <c r="AH105" s="237" t="s">
        <v>117</v>
      </c>
      <c r="AI105" s="237" t="s">
        <v>117</v>
      </c>
      <c r="AJ105" s="11" t="s">
        <v>108</v>
      </c>
      <c r="AK105" s="11" t="s">
        <v>108</v>
      </c>
      <c r="AL105" s="503">
        <v>24</v>
      </c>
      <c r="AM105" s="501">
        <f>24*4</f>
        <v>96</v>
      </c>
      <c r="AN105" s="501">
        <v>8</v>
      </c>
      <c r="AT105" s="132"/>
      <c r="AU105" s="132"/>
      <c r="AV105" s="132"/>
    </row>
    <row r="107" spans="2:48">
      <c r="E107" s="358" t="s">
        <v>804</v>
      </c>
      <c r="F107" s="358" t="s">
        <v>805</v>
      </c>
      <c r="N107" s="132"/>
      <c r="V107" s="132"/>
      <c r="AD107" s="132"/>
      <c r="AL107" s="132"/>
      <c r="AT107" s="132"/>
      <c r="AV107" s="132"/>
    </row>
    <row r="108" spans="2:48">
      <c r="B108" s="372" t="s">
        <v>132</v>
      </c>
      <c r="C108" s="376" t="s">
        <v>133</v>
      </c>
      <c r="N108" s="132"/>
      <c r="V108" s="132"/>
      <c r="AD108" s="132"/>
      <c r="AL108" s="132"/>
      <c r="AT108" s="132"/>
      <c r="AV108" s="132"/>
    </row>
    <row r="109" spans="2:48">
      <c r="B109" s="340" t="s">
        <v>268</v>
      </c>
      <c r="C109" s="377" t="s">
        <v>269</v>
      </c>
      <c r="J109" s="500"/>
      <c r="N109" s="132"/>
      <c r="V109" s="132"/>
      <c r="AD109" s="132"/>
      <c r="AL109" s="132"/>
      <c r="AT109" s="132"/>
      <c r="AU109" s="132"/>
      <c r="AV109" s="132"/>
    </row>
    <row r="110" spans="2:48">
      <c r="B110" s="340" t="s">
        <v>107</v>
      </c>
      <c r="C110" s="377" t="s">
        <v>270</v>
      </c>
      <c r="J110" s="500"/>
      <c r="N110" s="132"/>
      <c r="V110" s="132"/>
      <c r="AD110" s="132"/>
      <c r="AL110" s="132"/>
      <c r="AT110" s="132"/>
      <c r="AU110" s="132"/>
      <c r="AV110" s="132"/>
    </row>
    <row r="111" spans="2:48">
      <c r="B111" s="340" t="s">
        <v>105</v>
      </c>
      <c r="C111" s="377" t="s">
        <v>271</v>
      </c>
      <c r="J111" s="500"/>
      <c r="N111" s="132"/>
      <c r="V111" s="132"/>
      <c r="AD111" s="132"/>
      <c r="AL111" s="132"/>
      <c r="AT111" s="132"/>
      <c r="AU111" s="132"/>
      <c r="AV111" s="132"/>
    </row>
    <row r="112" spans="2:48">
      <c r="B112" s="373" t="s">
        <v>159</v>
      </c>
      <c r="C112" s="377" t="s">
        <v>272</v>
      </c>
      <c r="J112" s="500"/>
      <c r="N112" s="132"/>
      <c r="V112" s="132"/>
      <c r="AD112" s="132"/>
      <c r="AL112" s="132"/>
      <c r="AT112" s="132"/>
      <c r="AU112" s="132"/>
      <c r="AV112" s="132"/>
    </row>
    <row r="113" spans="2:50">
      <c r="B113" s="373" t="s">
        <v>162</v>
      </c>
      <c r="C113" s="377" t="s">
        <v>271</v>
      </c>
      <c r="E113" s="23"/>
      <c r="F113" s="23"/>
      <c r="G113" s="23"/>
      <c r="H113" s="23"/>
      <c r="I113" s="23"/>
      <c r="J113" s="608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</row>
    <row r="114" spans="2:50">
      <c r="B114" s="373" t="s">
        <v>140</v>
      </c>
      <c r="C114" s="377" t="s">
        <v>273</v>
      </c>
      <c r="E114" s="609"/>
      <c r="F114" s="609"/>
      <c r="G114" s="610"/>
      <c r="H114" s="610"/>
      <c r="I114" s="610"/>
      <c r="J114" s="611"/>
      <c r="K114" s="611"/>
      <c r="L114" s="611"/>
      <c r="M114" s="611"/>
      <c r="N114" s="611"/>
      <c r="O114" s="611"/>
      <c r="P114" s="611"/>
      <c r="Q114" s="611"/>
      <c r="R114" s="611"/>
      <c r="S114" s="611"/>
      <c r="T114" s="611"/>
      <c r="U114" s="838"/>
      <c r="V114" s="612"/>
      <c r="W114" s="612"/>
      <c r="X114" s="612"/>
      <c r="Y114" s="612"/>
      <c r="Z114" s="612"/>
      <c r="AA114" s="612"/>
      <c r="AB114" s="612"/>
      <c r="AC114" s="838"/>
      <c r="AD114" s="612"/>
      <c r="AE114" s="612"/>
      <c r="AF114" s="612"/>
      <c r="AG114" s="612"/>
      <c r="AH114" s="612"/>
      <c r="AI114" s="612"/>
      <c r="AJ114" s="612"/>
      <c r="AK114" s="838"/>
      <c r="AL114" s="610"/>
      <c r="AM114" s="610"/>
      <c r="AN114" s="610"/>
      <c r="AO114" s="611"/>
      <c r="AP114" s="611"/>
      <c r="AQ114" s="611"/>
      <c r="AR114" s="611"/>
      <c r="AS114" s="23"/>
      <c r="AT114" s="23"/>
      <c r="AU114" s="23"/>
      <c r="AV114" s="23"/>
      <c r="AW114" s="23"/>
      <c r="AX114" s="23"/>
    </row>
    <row r="115" spans="2:50">
      <c r="B115" s="373" t="s">
        <v>106</v>
      </c>
      <c r="C115" s="377" t="s">
        <v>274</v>
      </c>
      <c r="E115" s="609"/>
      <c r="F115" s="609"/>
      <c r="G115" s="837"/>
      <c r="H115" s="837"/>
      <c r="I115" s="837"/>
      <c r="J115" s="837"/>
      <c r="K115" s="837"/>
      <c r="L115" s="837"/>
      <c r="M115" s="837"/>
      <c r="N115" s="836"/>
      <c r="O115" s="836"/>
      <c r="P115" s="836"/>
      <c r="Q115" s="836"/>
      <c r="R115" s="836"/>
      <c r="S115" s="836"/>
      <c r="T115" s="836"/>
      <c r="U115" s="838"/>
      <c r="V115" s="836"/>
      <c r="W115" s="836"/>
      <c r="X115" s="836"/>
      <c r="Y115" s="836"/>
      <c r="Z115" s="836"/>
      <c r="AA115" s="836"/>
      <c r="AB115" s="836"/>
      <c r="AC115" s="838"/>
      <c r="AD115" s="836"/>
      <c r="AE115" s="836"/>
      <c r="AF115" s="836"/>
      <c r="AG115" s="836"/>
      <c r="AH115" s="836"/>
      <c r="AI115" s="836"/>
      <c r="AJ115" s="836"/>
      <c r="AK115" s="838"/>
      <c r="AL115" s="836"/>
      <c r="AM115" s="836"/>
      <c r="AN115" s="836"/>
      <c r="AO115" s="836"/>
      <c r="AP115" s="836"/>
      <c r="AQ115" s="836"/>
      <c r="AR115" s="836"/>
      <c r="AS115" s="23"/>
      <c r="AT115" s="23"/>
      <c r="AU115" s="23"/>
      <c r="AV115" s="23"/>
      <c r="AW115" s="23"/>
      <c r="AX115" s="23"/>
    </row>
    <row r="116" spans="2:50">
      <c r="B116" s="373" t="s">
        <v>250</v>
      </c>
      <c r="C116" s="377" t="s">
        <v>733</v>
      </c>
      <c r="E116" s="615"/>
      <c r="F116" s="615"/>
      <c r="G116" s="837"/>
      <c r="H116" s="837"/>
      <c r="I116" s="837"/>
      <c r="J116" s="837"/>
      <c r="K116" s="837"/>
      <c r="L116" s="837"/>
      <c r="M116" s="837"/>
      <c r="N116" s="836"/>
      <c r="O116" s="836"/>
      <c r="P116" s="836"/>
      <c r="Q116" s="836"/>
      <c r="R116" s="836"/>
      <c r="S116" s="836"/>
      <c r="T116" s="836"/>
      <c r="U116" s="838"/>
      <c r="V116" s="836"/>
      <c r="W116" s="836"/>
      <c r="X116" s="836"/>
      <c r="Y116" s="836"/>
      <c r="Z116" s="836"/>
      <c r="AA116" s="836"/>
      <c r="AB116" s="836"/>
      <c r="AC116" s="838"/>
      <c r="AD116" s="836"/>
      <c r="AE116" s="836"/>
      <c r="AF116" s="836"/>
      <c r="AG116" s="836"/>
      <c r="AH116" s="836"/>
      <c r="AI116" s="836"/>
      <c r="AJ116" s="836"/>
      <c r="AK116" s="838"/>
      <c r="AL116" s="836"/>
      <c r="AM116" s="836"/>
      <c r="AN116" s="836"/>
      <c r="AO116" s="836"/>
      <c r="AP116" s="836"/>
      <c r="AQ116" s="836"/>
      <c r="AR116" s="836"/>
      <c r="AS116" s="23"/>
      <c r="AT116" s="23"/>
      <c r="AU116" s="23"/>
      <c r="AV116" s="23"/>
      <c r="AW116" s="23"/>
      <c r="AX116" s="23"/>
    </row>
    <row r="117" spans="2:50">
      <c r="B117" s="373" t="s">
        <v>261</v>
      </c>
      <c r="C117" s="377" t="s">
        <v>734</v>
      </c>
      <c r="E117" s="616"/>
      <c r="F117" s="616"/>
      <c r="G117" s="612"/>
      <c r="H117" s="613"/>
      <c r="I117" s="612"/>
      <c r="J117" s="612"/>
      <c r="K117" s="612"/>
      <c r="L117" s="612"/>
      <c r="M117" s="613"/>
      <c r="N117" s="612"/>
      <c r="O117" s="614"/>
      <c r="P117" s="612"/>
      <c r="Q117" s="612"/>
      <c r="R117" s="612"/>
      <c r="S117" s="612"/>
      <c r="T117" s="614"/>
      <c r="U117" s="608"/>
      <c r="V117" s="612"/>
      <c r="W117" s="614"/>
      <c r="X117" s="612"/>
      <c r="Y117" s="612"/>
      <c r="Z117" s="612"/>
      <c r="AA117" s="612"/>
      <c r="AB117" s="614"/>
      <c r="AC117" s="608"/>
      <c r="AD117" s="612"/>
      <c r="AE117" s="612"/>
      <c r="AF117" s="612"/>
      <c r="AG117" s="614"/>
      <c r="AH117" s="614"/>
      <c r="AI117" s="614"/>
      <c r="AJ117" s="612"/>
      <c r="AK117" s="608"/>
      <c r="AL117" s="612"/>
      <c r="AM117" s="614"/>
      <c r="AN117" s="612"/>
      <c r="AO117" s="612"/>
      <c r="AP117" s="612"/>
      <c r="AQ117" s="612"/>
      <c r="AR117" s="614"/>
      <c r="AS117" s="23"/>
      <c r="AT117" s="23"/>
      <c r="AU117" s="23"/>
      <c r="AV117" s="23"/>
      <c r="AW117" s="23"/>
      <c r="AX117" s="23"/>
    </row>
    <row r="118" spans="2:50">
      <c r="B118" s="373" t="s">
        <v>108</v>
      </c>
      <c r="C118" s="377" t="s">
        <v>275</v>
      </c>
      <c r="E118" s="616"/>
      <c r="F118" s="616"/>
      <c r="G118" s="612"/>
      <c r="H118" s="612"/>
      <c r="I118" s="612"/>
      <c r="J118" s="612"/>
      <c r="K118" s="613"/>
      <c r="L118" s="613"/>
      <c r="M118" s="613"/>
      <c r="N118" s="612"/>
      <c r="O118" s="612"/>
      <c r="P118" s="612"/>
      <c r="Q118" s="614"/>
      <c r="R118" s="614"/>
      <c r="S118" s="612"/>
      <c r="T118" s="612"/>
      <c r="U118" s="608"/>
      <c r="V118" s="612"/>
      <c r="W118" s="612"/>
      <c r="X118" s="612"/>
      <c r="Y118" s="612"/>
      <c r="Z118" s="614"/>
      <c r="AA118" s="614"/>
      <c r="AB118" s="614"/>
      <c r="AC118" s="608"/>
      <c r="AD118" s="612"/>
      <c r="AE118" s="612"/>
      <c r="AF118" s="612"/>
      <c r="AG118" s="613"/>
      <c r="AH118" s="613"/>
      <c r="AI118" s="612"/>
      <c r="AJ118" s="612"/>
      <c r="AK118" s="608"/>
      <c r="AL118" s="612"/>
      <c r="AM118" s="612"/>
      <c r="AN118" s="612"/>
      <c r="AO118" s="612"/>
      <c r="AP118" s="614"/>
      <c r="AQ118" s="614"/>
      <c r="AR118" s="614"/>
      <c r="AS118" s="23"/>
      <c r="AT118" s="23"/>
      <c r="AU118" s="23"/>
      <c r="AV118" s="23"/>
      <c r="AW118" s="23"/>
      <c r="AX118" s="23"/>
    </row>
    <row r="119" spans="2:50" ht="15" customHeight="1">
      <c r="B119" s="373" t="s">
        <v>137</v>
      </c>
      <c r="C119" s="377" t="s">
        <v>276</v>
      </c>
      <c r="E119" s="616"/>
      <c r="F119" s="616"/>
      <c r="G119" s="612"/>
      <c r="H119" s="612"/>
      <c r="I119" s="612"/>
      <c r="J119" s="612"/>
      <c r="K119" s="613"/>
      <c r="L119" s="613"/>
      <c r="M119" s="613"/>
      <c r="N119" s="612"/>
      <c r="O119" s="613"/>
      <c r="P119" s="612"/>
      <c r="Q119" s="612"/>
      <c r="R119" s="612"/>
      <c r="S119" s="612"/>
      <c r="T119" s="614"/>
      <c r="U119" s="608"/>
      <c r="V119" s="612"/>
      <c r="W119" s="612"/>
      <c r="X119" s="612"/>
      <c r="Y119" s="612"/>
      <c r="Z119" s="614"/>
      <c r="AA119" s="614"/>
      <c r="AB119" s="614"/>
      <c r="AC119" s="608"/>
      <c r="AD119" s="612"/>
      <c r="AE119" s="612"/>
      <c r="AF119" s="612"/>
      <c r="AG119" s="612"/>
      <c r="AH119" s="612"/>
      <c r="AI119" s="614"/>
      <c r="AJ119" s="614"/>
      <c r="AK119" s="608"/>
      <c r="AL119" s="612"/>
      <c r="AM119" s="612"/>
      <c r="AN119" s="612"/>
      <c r="AO119" s="612"/>
      <c r="AP119" s="614"/>
      <c r="AQ119" s="614"/>
      <c r="AR119" s="614"/>
      <c r="AS119" s="23"/>
      <c r="AT119" s="23"/>
      <c r="AU119" s="23"/>
      <c r="AV119" s="23"/>
      <c r="AW119" s="23"/>
      <c r="AX119" s="23"/>
    </row>
    <row r="120" spans="2:50">
      <c r="B120" s="373" t="s">
        <v>108</v>
      </c>
      <c r="C120" s="377" t="s">
        <v>277</v>
      </c>
      <c r="E120" s="616"/>
      <c r="F120" s="616"/>
      <c r="G120" s="612"/>
      <c r="H120" s="612"/>
      <c r="I120" s="612"/>
      <c r="J120" s="613"/>
      <c r="K120" s="613"/>
      <c r="L120" s="612"/>
      <c r="M120" s="612"/>
      <c r="N120" s="612"/>
      <c r="O120" s="612"/>
      <c r="P120" s="612"/>
      <c r="Q120" s="612"/>
      <c r="R120" s="614"/>
      <c r="S120" s="612"/>
      <c r="T120" s="612"/>
      <c r="U120" s="608"/>
      <c r="V120" s="612"/>
      <c r="W120" s="612"/>
      <c r="X120" s="612"/>
      <c r="Y120" s="614"/>
      <c r="Z120" s="613"/>
      <c r="AA120" s="612"/>
      <c r="AB120" s="612"/>
      <c r="AC120" s="608"/>
      <c r="AD120" s="612"/>
      <c r="AE120" s="612"/>
      <c r="AF120" s="612"/>
      <c r="AG120" s="612"/>
      <c r="AH120" s="614"/>
      <c r="AI120" s="614"/>
      <c r="AJ120" s="612"/>
      <c r="AK120" s="608"/>
      <c r="AL120" s="612"/>
      <c r="AM120" s="612"/>
      <c r="AN120" s="612"/>
      <c r="AO120" s="614"/>
      <c r="AP120" s="614"/>
      <c r="AQ120" s="612"/>
      <c r="AR120" s="612"/>
      <c r="AS120" s="23"/>
      <c r="AT120" s="23"/>
      <c r="AU120" s="23"/>
      <c r="AV120" s="23"/>
      <c r="AW120" s="23"/>
      <c r="AX120" s="23"/>
    </row>
    <row r="121" spans="2:50">
      <c r="B121" s="353"/>
      <c r="E121" s="616"/>
      <c r="F121" s="616"/>
      <c r="G121" s="612"/>
      <c r="H121" s="613"/>
      <c r="I121" s="613"/>
      <c r="J121" s="612"/>
      <c r="K121" s="612"/>
      <c r="L121" s="613"/>
      <c r="M121" s="613"/>
      <c r="N121" s="612"/>
      <c r="O121" s="614"/>
      <c r="P121" s="614"/>
      <c r="Q121" s="612"/>
      <c r="R121" s="612"/>
      <c r="S121" s="614"/>
      <c r="T121" s="614"/>
      <c r="U121" s="608"/>
      <c r="V121" s="612"/>
      <c r="W121" s="614"/>
      <c r="X121" s="612"/>
      <c r="Y121" s="612"/>
      <c r="Z121" s="612"/>
      <c r="AA121" s="614"/>
      <c r="AB121" s="614"/>
      <c r="AC121" s="608"/>
      <c r="AD121" s="612"/>
      <c r="AE121" s="612"/>
      <c r="AF121" s="612"/>
      <c r="AG121" s="613"/>
      <c r="AH121" s="614"/>
      <c r="AI121" s="614"/>
      <c r="AJ121" s="612"/>
      <c r="AK121" s="608"/>
      <c r="AL121" s="612"/>
      <c r="AM121" s="613"/>
      <c r="AN121" s="614"/>
      <c r="AO121" s="612"/>
      <c r="AP121" s="612"/>
      <c r="AQ121" s="614"/>
      <c r="AR121" s="614"/>
      <c r="AS121" s="23"/>
      <c r="AT121" s="23"/>
      <c r="AU121" s="23"/>
      <c r="AV121" s="23"/>
      <c r="AW121" s="23"/>
      <c r="AX121" s="23"/>
    </row>
    <row r="122" spans="2:50">
      <c r="E122" s="616"/>
      <c r="F122" s="616"/>
      <c r="G122" s="612"/>
      <c r="H122" s="612"/>
      <c r="I122" s="612"/>
      <c r="J122" s="613"/>
      <c r="K122" s="613"/>
      <c r="L122" s="613"/>
      <c r="M122" s="612"/>
      <c r="N122" s="612"/>
      <c r="O122" s="612"/>
      <c r="P122" s="612"/>
      <c r="Q122" s="612"/>
      <c r="R122" s="612"/>
      <c r="S122" s="614"/>
      <c r="T122" s="614"/>
      <c r="U122" s="608"/>
      <c r="V122" s="612"/>
      <c r="W122" s="612"/>
      <c r="X122" s="612"/>
      <c r="Y122" s="614"/>
      <c r="Z122" s="614"/>
      <c r="AA122" s="614"/>
      <c r="AB122" s="612"/>
      <c r="AC122" s="608"/>
      <c r="AD122" s="612"/>
      <c r="AE122" s="612"/>
      <c r="AF122" s="612"/>
      <c r="AG122" s="614"/>
      <c r="AH122" s="614"/>
      <c r="AI122" s="612"/>
      <c r="AJ122" s="612"/>
      <c r="AK122" s="608"/>
      <c r="AL122" s="612"/>
      <c r="AM122" s="612"/>
      <c r="AN122" s="612"/>
      <c r="AO122" s="614"/>
      <c r="AP122" s="614"/>
      <c r="AQ122" s="614"/>
      <c r="AR122" s="612"/>
      <c r="AS122" s="23"/>
      <c r="AT122" s="23"/>
      <c r="AU122" s="23"/>
      <c r="AV122" s="23"/>
      <c r="AW122" s="23"/>
      <c r="AX122" s="23"/>
    </row>
    <row r="123" spans="2:50">
      <c r="E123" s="616"/>
      <c r="F123" s="616"/>
      <c r="G123" s="612"/>
      <c r="H123" s="612"/>
      <c r="I123" s="612"/>
      <c r="J123" s="612"/>
      <c r="K123" s="613"/>
      <c r="L123" s="612"/>
      <c r="M123" s="612"/>
      <c r="N123" s="612"/>
      <c r="O123" s="612"/>
      <c r="P123" s="612"/>
      <c r="Q123" s="612"/>
      <c r="R123" s="612"/>
      <c r="S123" s="614"/>
      <c r="T123" s="614"/>
      <c r="U123" s="608"/>
      <c r="V123" s="612"/>
      <c r="W123" s="612"/>
      <c r="X123" s="612"/>
      <c r="Y123" s="612"/>
      <c r="Z123" s="614"/>
      <c r="AA123" s="612"/>
      <c r="AB123" s="612"/>
      <c r="AC123" s="608"/>
      <c r="AD123" s="612"/>
      <c r="AE123" s="612"/>
      <c r="AF123" s="612"/>
      <c r="AG123" s="612"/>
      <c r="AH123" s="612"/>
      <c r="AI123" s="612"/>
      <c r="AJ123" s="612"/>
      <c r="AK123" s="608"/>
      <c r="AL123" s="612"/>
      <c r="AM123" s="612"/>
      <c r="AN123" s="612"/>
      <c r="AO123" s="612"/>
      <c r="AP123" s="614"/>
      <c r="AQ123" s="612"/>
      <c r="AR123" s="612"/>
      <c r="AS123" s="23"/>
      <c r="AT123" s="23"/>
      <c r="AU123" s="23"/>
      <c r="AV123" s="23"/>
      <c r="AW123" s="23"/>
      <c r="AX123" s="23"/>
    </row>
    <row r="124" spans="2:50">
      <c r="E124" s="617"/>
      <c r="F124" s="617"/>
      <c r="G124" s="612"/>
      <c r="H124" s="613"/>
      <c r="I124" s="613"/>
      <c r="J124" s="612"/>
      <c r="K124" s="612"/>
      <c r="L124" s="612"/>
      <c r="M124" s="612"/>
      <c r="N124" s="612"/>
      <c r="O124" s="614"/>
      <c r="P124" s="614"/>
      <c r="Q124" s="612"/>
      <c r="R124" s="614"/>
      <c r="S124" s="614"/>
      <c r="T124" s="612"/>
      <c r="U124" s="608"/>
      <c r="V124" s="612"/>
      <c r="W124" s="614"/>
      <c r="X124" s="612"/>
      <c r="Y124" s="612"/>
      <c r="Z124" s="614"/>
      <c r="AA124" s="612"/>
      <c r="AB124" s="612"/>
      <c r="AC124" s="608"/>
      <c r="AD124" s="612"/>
      <c r="AE124" s="614"/>
      <c r="AF124" s="614"/>
      <c r="AG124" s="612"/>
      <c r="AH124" s="614"/>
      <c r="AI124" s="614"/>
      <c r="AJ124" s="614"/>
      <c r="AK124" s="608"/>
      <c r="AL124" s="612"/>
      <c r="AM124" s="614"/>
      <c r="AN124" s="614"/>
      <c r="AO124" s="612"/>
      <c r="AP124" s="612"/>
      <c r="AQ124" s="612"/>
      <c r="AR124" s="612"/>
      <c r="AS124" s="23"/>
      <c r="AT124" s="23"/>
      <c r="AU124" s="23"/>
      <c r="AV124" s="23"/>
      <c r="AW124" s="23"/>
      <c r="AX124" s="23"/>
    </row>
    <row r="125" spans="2:50"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</row>
    <row r="126" spans="2:50">
      <c r="E126" s="23"/>
      <c r="F126" s="23"/>
      <c r="G126" s="610"/>
      <c r="H126" s="610"/>
      <c r="I126" s="610"/>
      <c r="J126" s="611"/>
      <c r="K126" s="611"/>
      <c r="L126" s="611"/>
      <c r="M126" s="611"/>
      <c r="N126" s="611"/>
      <c r="O126" s="611"/>
      <c r="P126" s="611"/>
      <c r="Q126" s="611"/>
      <c r="R126" s="611"/>
      <c r="S126" s="611"/>
      <c r="T126" s="611"/>
      <c r="U126" s="838"/>
      <c r="V126" s="612"/>
      <c r="W126" s="612"/>
      <c r="X126" s="612"/>
      <c r="Y126" s="612"/>
      <c r="Z126" s="612"/>
      <c r="AA126" s="612"/>
      <c r="AB126" s="612"/>
      <c r="AC126" s="838"/>
      <c r="AD126" s="612"/>
      <c r="AE126" s="612"/>
      <c r="AF126" s="612"/>
      <c r="AG126" s="612"/>
      <c r="AH126" s="612"/>
      <c r="AI126" s="612"/>
      <c r="AJ126" s="612"/>
      <c r="AK126" s="838"/>
      <c r="AL126" s="610"/>
      <c r="AM126" s="610"/>
      <c r="AN126" s="610"/>
      <c r="AO126" s="611"/>
      <c r="AP126" s="611"/>
      <c r="AQ126" s="611"/>
      <c r="AR126" s="611"/>
      <c r="AS126" s="23"/>
      <c r="AT126" s="23"/>
      <c r="AU126" s="23"/>
      <c r="AV126" s="23"/>
      <c r="AW126" s="23"/>
      <c r="AX126" s="23"/>
    </row>
    <row r="127" spans="2:50">
      <c r="E127" s="23"/>
      <c r="F127" s="23"/>
      <c r="G127" s="837"/>
      <c r="H127" s="837"/>
      <c r="I127" s="837"/>
      <c r="J127" s="837"/>
      <c r="K127" s="837"/>
      <c r="L127" s="837"/>
      <c r="M127" s="837"/>
      <c r="N127" s="836"/>
      <c r="O127" s="836"/>
      <c r="P127" s="836"/>
      <c r="Q127" s="836"/>
      <c r="R127" s="836"/>
      <c r="S127" s="836"/>
      <c r="T127" s="836"/>
      <c r="U127" s="838"/>
      <c r="V127" s="836"/>
      <c r="W127" s="836"/>
      <c r="X127" s="836"/>
      <c r="Y127" s="836"/>
      <c r="Z127" s="836"/>
      <c r="AA127" s="836"/>
      <c r="AB127" s="836"/>
      <c r="AC127" s="838"/>
      <c r="AD127" s="836"/>
      <c r="AE127" s="836"/>
      <c r="AF127" s="836"/>
      <c r="AG127" s="836"/>
      <c r="AH127" s="836"/>
      <c r="AI127" s="836"/>
      <c r="AJ127" s="836"/>
      <c r="AK127" s="838"/>
      <c r="AL127" s="836"/>
      <c r="AM127" s="836"/>
      <c r="AN127" s="836"/>
      <c r="AO127" s="836"/>
      <c r="AP127" s="836"/>
      <c r="AQ127" s="836"/>
      <c r="AR127" s="836"/>
      <c r="AS127" s="23"/>
      <c r="AT127" s="23"/>
      <c r="AU127" s="23"/>
      <c r="AV127" s="23"/>
      <c r="AW127" s="23"/>
      <c r="AX127" s="23"/>
    </row>
    <row r="128" spans="2:50">
      <c r="E128" s="23"/>
      <c r="F128" s="23"/>
      <c r="G128" s="837"/>
      <c r="H128" s="837"/>
      <c r="I128" s="837"/>
      <c r="J128" s="837"/>
      <c r="K128" s="837"/>
      <c r="L128" s="837"/>
      <c r="M128" s="837"/>
      <c r="N128" s="836"/>
      <c r="O128" s="836"/>
      <c r="P128" s="836"/>
      <c r="Q128" s="836"/>
      <c r="R128" s="836"/>
      <c r="S128" s="836"/>
      <c r="T128" s="836"/>
      <c r="U128" s="838"/>
      <c r="V128" s="836"/>
      <c r="W128" s="836"/>
      <c r="X128" s="836"/>
      <c r="Y128" s="836"/>
      <c r="Z128" s="836"/>
      <c r="AA128" s="836"/>
      <c r="AB128" s="836"/>
      <c r="AC128" s="838"/>
      <c r="AD128" s="836"/>
      <c r="AE128" s="836"/>
      <c r="AF128" s="836"/>
      <c r="AG128" s="836"/>
      <c r="AH128" s="836"/>
      <c r="AI128" s="836"/>
      <c r="AJ128" s="836"/>
      <c r="AK128" s="838"/>
      <c r="AL128" s="836"/>
      <c r="AM128" s="836"/>
      <c r="AN128" s="836"/>
      <c r="AO128" s="836"/>
      <c r="AP128" s="836"/>
      <c r="AQ128" s="836"/>
      <c r="AR128" s="836"/>
      <c r="AS128" s="23"/>
      <c r="AT128" s="23"/>
      <c r="AU128" s="23"/>
      <c r="AV128" s="23"/>
      <c r="AW128" s="23"/>
      <c r="AX128" s="23"/>
    </row>
    <row r="129" spans="5:50">
      <c r="E129" s="23"/>
      <c r="F129" s="23"/>
      <c r="G129" s="612"/>
      <c r="H129" s="612"/>
      <c r="I129" s="612"/>
      <c r="J129" s="613"/>
      <c r="K129" s="613"/>
      <c r="L129" s="613"/>
      <c r="M129" s="612"/>
      <c r="N129" s="612"/>
      <c r="O129" s="614"/>
      <c r="P129" s="612"/>
      <c r="Q129" s="612"/>
      <c r="R129" s="612"/>
      <c r="S129" s="612"/>
      <c r="T129" s="612"/>
      <c r="U129" s="608"/>
      <c r="V129" s="612"/>
      <c r="W129" s="612"/>
      <c r="X129" s="614"/>
      <c r="Y129" s="614"/>
      <c r="Z129" s="614"/>
      <c r="AA129" s="614"/>
      <c r="AB129" s="612"/>
      <c r="AC129" s="608"/>
      <c r="AD129" s="612"/>
      <c r="AE129" s="612"/>
      <c r="AF129" s="612"/>
      <c r="AG129" s="614"/>
      <c r="AH129" s="614"/>
      <c r="AI129" s="614"/>
      <c r="AJ129" s="612"/>
      <c r="AK129" s="608"/>
      <c r="AL129" s="612"/>
      <c r="AM129" s="612"/>
      <c r="AN129" s="612"/>
      <c r="AO129" s="614"/>
      <c r="AP129" s="614"/>
      <c r="AQ129" s="614"/>
      <c r="AR129" s="612"/>
      <c r="AS129" s="23"/>
      <c r="AT129" s="23"/>
      <c r="AU129" s="23"/>
      <c r="AV129" s="23"/>
      <c r="AW129" s="23"/>
      <c r="AX129" s="23"/>
    </row>
    <row r="130" spans="5:50">
      <c r="E130" s="23"/>
      <c r="F130" s="23"/>
      <c r="G130" s="612"/>
      <c r="H130" s="612"/>
      <c r="I130" s="612"/>
      <c r="J130" s="612"/>
      <c r="K130" s="612"/>
      <c r="L130" s="613"/>
      <c r="M130" s="613"/>
      <c r="N130" s="612"/>
      <c r="O130" s="612"/>
      <c r="P130" s="612"/>
      <c r="Q130" s="612"/>
      <c r="R130" s="614"/>
      <c r="S130" s="614"/>
      <c r="T130" s="614"/>
      <c r="U130" s="608"/>
      <c r="V130" s="612"/>
      <c r="W130" s="612"/>
      <c r="X130" s="612"/>
      <c r="Y130" s="612"/>
      <c r="Z130" s="612"/>
      <c r="AA130" s="614"/>
      <c r="AB130" s="614"/>
      <c r="AC130" s="608"/>
      <c r="AD130" s="612"/>
      <c r="AE130" s="612"/>
      <c r="AF130" s="612"/>
      <c r="AG130" s="612"/>
      <c r="AH130" s="612"/>
      <c r="AI130" s="614"/>
      <c r="AJ130" s="614"/>
      <c r="AK130" s="608"/>
      <c r="AL130" s="612"/>
      <c r="AM130" s="612"/>
      <c r="AN130" s="612"/>
      <c r="AO130" s="612"/>
      <c r="AP130" s="612"/>
      <c r="AQ130" s="614"/>
      <c r="AR130" s="614"/>
      <c r="AS130" s="23"/>
      <c r="AT130" s="23"/>
      <c r="AU130" s="23"/>
      <c r="AV130" s="23"/>
      <c r="AW130" s="23"/>
      <c r="AX130" s="23"/>
    </row>
    <row r="131" spans="5:50">
      <c r="E131" s="23"/>
      <c r="F131" s="23"/>
      <c r="G131" s="611"/>
      <c r="H131" s="611"/>
      <c r="I131" s="618"/>
      <c r="J131" s="618"/>
      <c r="K131" s="618"/>
      <c r="L131" s="618"/>
      <c r="M131" s="618"/>
      <c r="N131" s="611"/>
      <c r="O131" s="611"/>
      <c r="P131" s="619"/>
      <c r="Q131" s="619"/>
      <c r="R131" s="619"/>
      <c r="S131" s="619"/>
      <c r="T131" s="619"/>
      <c r="U131" s="620"/>
      <c r="V131" s="611"/>
      <c r="W131" s="611"/>
      <c r="X131" s="619"/>
      <c r="Y131" s="619"/>
      <c r="Z131" s="619"/>
      <c r="AA131" s="619"/>
      <c r="AB131" s="619"/>
      <c r="AC131" s="620"/>
      <c r="AD131" s="611"/>
      <c r="AE131" s="611"/>
      <c r="AF131" s="619"/>
      <c r="AG131" s="619"/>
      <c r="AH131" s="619"/>
      <c r="AI131" s="619"/>
      <c r="AJ131" s="619"/>
      <c r="AK131" s="620"/>
      <c r="AL131" s="611"/>
      <c r="AM131" s="611"/>
      <c r="AN131" s="619"/>
      <c r="AO131" s="619"/>
      <c r="AP131" s="619"/>
      <c r="AQ131" s="619"/>
      <c r="AR131" s="619"/>
      <c r="AS131" s="23"/>
      <c r="AT131" s="23"/>
      <c r="AU131" s="23"/>
      <c r="AV131" s="23"/>
      <c r="AW131" s="23"/>
      <c r="AX131" s="23"/>
    </row>
    <row r="132" spans="5:50">
      <c r="E132" s="23"/>
      <c r="F132" s="23"/>
      <c r="G132" s="592"/>
      <c r="H132" s="23"/>
      <c r="I132" s="23"/>
      <c r="J132" s="23"/>
      <c r="K132" s="23"/>
      <c r="L132" s="23"/>
      <c r="M132" s="23"/>
      <c r="N132" s="23"/>
      <c r="O132" s="592"/>
      <c r="P132" s="608"/>
      <c r="Q132" s="592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</row>
    <row r="133" spans="5:50">
      <c r="E133" s="23"/>
      <c r="F133" s="23"/>
      <c r="G133" s="592"/>
      <c r="H133" s="23"/>
      <c r="I133" s="23"/>
      <c r="J133" s="23"/>
      <c r="K133" s="23"/>
      <c r="L133" s="23"/>
      <c r="M133" s="23"/>
      <c r="N133" s="23"/>
      <c r="O133" s="592"/>
      <c r="P133" s="608"/>
      <c r="Q133" s="592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</row>
    <row r="134" spans="5:50">
      <c r="E134" s="23"/>
      <c r="F134" s="23"/>
      <c r="G134" s="592"/>
      <c r="H134" s="23"/>
      <c r="I134" s="23"/>
      <c r="J134" s="23"/>
      <c r="K134" s="23"/>
      <c r="L134" s="23"/>
      <c r="M134" s="23"/>
      <c r="N134" s="23"/>
      <c r="O134" s="592"/>
      <c r="P134" s="608"/>
      <c r="Q134" s="592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</row>
    <row r="135" spans="5:50">
      <c r="E135" s="23"/>
      <c r="F135" s="23"/>
      <c r="G135" s="592"/>
      <c r="H135" s="23"/>
      <c r="I135" s="23"/>
      <c r="J135" s="23"/>
      <c r="K135" s="23"/>
      <c r="L135" s="23"/>
      <c r="M135" s="23"/>
      <c r="N135" s="23"/>
      <c r="O135" s="592"/>
      <c r="P135" s="608"/>
      <c r="Q135" s="592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</row>
    <row r="136" spans="5:50">
      <c r="G136" s="353"/>
      <c r="N136" s="132"/>
      <c r="O136" s="353"/>
      <c r="P136" s="500"/>
      <c r="Q136" s="353"/>
      <c r="V136" s="132"/>
      <c r="AD136" s="132"/>
      <c r="AL136" s="132"/>
      <c r="AT136" s="132"/>
      <c r="AU136" s="132"/>
      <c r="AV136" s="132"/>
    </row>
    <row r="137" spans="5:50">
      <c r="G137" s="353"/>
      <c r="N137" s="132"/>
      <c r="O137" s="353"/>
      <c r="P137" s="500"/>
      <c r="Q137" s="353"/>
      <c r="V137" s="132"/>
      <c r="AD137" s="132"/>
      <c r="AL137" s="132"/>
      <c r="AT137" s="132"/>
      <c r="AU137" s="132"/>
      <c r="AV137" s="132"/>
    </row>
  </sheetData>
  <mergeCells count="504">
    <mergeCell ref="AF70:AF71"/>
    <mergeCell ref="AG70:AG71"/>
    <mergeCell ref="AH70:AH71"/>
    <mergeCell ref="AF26:AF27"/>
    <mergeCell ref="AG26:AG27"/>
    <mergeCell ref="AH26:AH27"/>
    <mergeCell ref="AJ49:AJ50"/>
    <mergeCell ref="AK49:AK50"/>
    <mergeCell ref="AE56:AE57"/>
    <mergeCell ref="AF56:AF57"/>
    <mergeCell ref="AG56:AG57"/>
    <mergeCell ref="AH56:AH57"/>
    <mergeCell ref="AI56:AI57"/>
    <mergeCell ref="AJ56:AJ57"/>
    <mergeCell ref="AK56:AK57"/>
    <mergeCell ref="P49:P50"/>
    <mergeCell ref="Q49:Q50"/>
    <mergeCell ref="AC56:AC57"/>
    <mergeCell ref="Y56:Y57"/>
    <mergeCell ref="Z56:Z57"/>
    <mergeCell ref="AA56:AA57"/>
    <mergeCell ref="AB56:AB57"/>
    <mergeCell ref="W65:W66"/>
    <mergeCell ref="AE65:AE66"/>
    <mergeCell ref="G70:G71"/>
    <mergeCell ref="H70:H71"/>
    <mergeCell ref="W56:W57"/>
    <mergeCell ref="AD76:AD78"/>
    <mergeCell ref="AD81:AD83"/>
    <mergeCell ref="AD91:AD93"/>
    <mergeCell ref="AD101:AD103"/>
    <mergeCell ref="M65:M66"/>
    <mergeCell ref="O65:O66"/>
    <mergeCell ref="P65:P66"/>
    <mergeCell ref="Q65:Q66"/>
    <mergeCell ref="G65:G66"/>
    <mergeCell ref="H65:H66"/>
    <mergeCell ref="I65:I66"/>
    <mergeCell ref="I77:I78"/>
    <mergeCell ref="J77:J78"/>
    <mergeCell ref="K77:K78"/>
    <mergeCell ref="L77:L78"/>
    <mergeCell ref="M77:M78"/>
    <mergeCell ref="O77:O78"/>
    <mergeCell ref="T65:T66"/>
    <mergeCell ref="U65:U66"/>
    <mergeCell ref="AD69:AD71"/>
    <mergeCell ref="W70:W71"/>
    <mergeCell ref="AE102:AE103"/>
    <mergeCell ref="AF102:AF103"/>
    <mergeCell ref="AG102:AG103"/>
    <mergeCell ref="AH102:AH103"/>
    <mergeCell ref="AI102:AI103"/>
    <mergeCell ref="AJ102:AJ103"/>
    <mergeCell ref="AK102:AK103"/>
    <mergeCell ref="AE77:AE78"/>
    <mergeCell ref="AF77:AF78"/>
    <mergeCell ref="AG77:AG78"/>
    <mergeCell ref="AH77:AH78"/>
    <mergeCell ref="AI77:AI78"/>
    <mergeCell ref="AJ77:AJ78"/>
    <mergeCell ref="AK77:AK78"/>
    <mergeCell ref="AI9:AI10"/>
    <mergeCell ref="AJ9:AJ10"/>
    <mergeCell ref="AK9:AK10"/>
    <mergeCell ref="AD48:AD50"/>
    <mergeCell ref="AD55:AD57"/>
    <mergeCell ref="AD64:AD66"/>
    <mergeCell ref="AI26:AI27"/>
    <mergeCell ref="AJ26:AJ27"/>
    <mergeCell ref="AK26:AK27"/>
    <mergeCell ref="AE37:AE38"/>
    <mergeCell ref="AF37:AF38"/>
    <mergeCell ref="AG37:AG38"/>
    <mergeCell ref="AH37:AH38"/>
    <mergeCell ref="AI37:AI38"/>
    <mergeCell ref="AJ37:AJ38"/>
    <mergeCell ref="AK37:AK38"/>
    <mergeCell ref="AE49:AE50"/>
    <mergeCell ref="AF49:AF50"/>
    <mergeCell ref="AG49:AG50"/>
    <mergeCell ref="AH49:AH50"/>
    <mergeCell ref="AI49:AI50"/>
    <mergeCell ref="AE26:AE27"/>
    <mergeCell ref="AF65:AF66"/>
    <mergeCell ref="AG65:AG66"/>
    <mergeCell ref="AM8:AM10"/>
    <mergeCell ref="AN8:AN10"/>
    <mergeCell ref="G9:G10"/>
    <mergeCell ref="H9:H10"/>
    <mergeCell ref="I9:I10"/>
    <mergeCell ref="J9:J10"/>
    <mergeCell ref="K9:K10"/>
    <mergeCell ref="L9:L10"/>
    <mergeCell ref="M9:M10"/>
    <mergeCell ref="Y9:Y10"/>
    <mergeCell ref="Z9:Z10"/>
    <mergeCell ref="AA9:AA10"/>
    <mergeCell ref="AB9:AB10"/>
    <mergeCell ref="AC9:AC10"/>
    <mergeCell ref="W9:W10"/>
    <mergeCell ref="X9:X10"/>
    <mergeCell ref="N8:N10"/>
    <mergeCell ref="V8:V10"/>
    <mergeCell ref="AL8:AL10"/>
    <mergeCell ref="AD8:AD10"/>
    <mergeCell ref="AE9:AE10"/>
    <mergeCell ref="AF9:AF10"/>
    <mergeCell ref="AG9:AG10"/>
    <mergeCell ref="AH9:AH10"/>
    <mergeCell ref="B11:B23"/>
    <mergeCell ref="C11:C13"/>
    <mergeCell ref="C14:C15"/>
    <mergeCell ref="C16:C18"/>
    <mergeCell ref="C19:C20"/>
    <mergeCell ref="R9:R10"/>
    <mergeCell ref="S9:S10"/>
    <mergeCell ref="T9:T10"/>
    <mergeCell ref="U9:U10"/>
    <mergeCell ref="O9:O10"/>
    <mergeCell ref="P9:P10"/>
    <mergeCell ref="Q9:Q10"/>
    <mergeCell ref="C21:C23"/>
    <mergeCell ref="B8:B10"/>
    <mergeCell ref="C8:C10"/>
    <mergeCell ref="AM25:AM27"/>
    <mergeCell ref="AN25:AN27"/>
    <mergeCell ref="G26:G27"/>
    <mergeCell ref="H26:H27"/>
    <mergeCell ref="I26:I27"/>
    <mergeCell ref="J26:J27"/>
    <mergeCell ref="K26:K27"/>
    <mergeCell ref="L26:L27"/>
    <mergeCell ref="M26:M27"/>
    <mergeCell ref="Y26:Y27"/>
    <mergeCell ref="Z26:Z27"/>
    <mergeCell ref="AA26:AA27"/>
    <mergeCell ref="AB26:AB27"/>
    <mergeCell ref="AC26:AC27"/>
    <mergeCell ref="N25:N27"/>
    <mergeCell ref="V25:V27"/>
    <mergeCell ref="AD25:AD27"/>
    <mergeCell ref="R26:R27"/>
    <mergeCell ref="S26:S27"/>
    <mergeCell ref="U26:U27"/>
    <mergeCell ref="W26:W27"/>
    <mergeCell ref="AL25:AL27"/>
    <mergeCell ref="X26:X27"/>
    <mergeCell ref="O26:O27"/>
    <mergeCell ref="P26:P27"/>
    <mergeCell ref="Q26:Q27"/>
    <mergeCell ref="Q37:Q38"/>
    <mergeCell ref="R37:R38"/>
    <mergeCell ref="AD36:AD38"/>
    <mergeCell ref="B28:B29"/>
    <mergeCell ref="C28:C29"/>
    <mergeCell ref="Y37:Y38"/>
    <mergeCell ref="L37:L38"/>
    <mergeCell ref="M37:M38"/>
    <mergeCell ref="O37:O38"/>
    <mergeCell ref="P37:P38"/>
    <mergeCell ref="B36:B38"/>
    <mergeCell ref="C36:C38"/>
    <mergeCell ref="N36:N38"/>
    <mergeCell ref="V36:V38"/>
    <mergeCell ref="B25:B27"/>
    <mergeCell ref="C25:C27"/>
    <mergeCell ref="T26:T27"/>
    <mergeCell ref="AM36:AM38"/>
    <mergeCell ref="AN36:AN38"/>
    <mergeCell ref="G37:G38"/>
    <mergeCell ref="Z37:Z38"/>
    <mergeCell ref="AA37:AA38"/>
    <mergeCell ref="AB37:AB38"/>
    <mergeCell ref="AC37:AC38"/>
    <mergeCell ref="S37:S38"/>
    <mergeCell ref="T37:T38"/>
    <mergeCell ref="U37:U38"/>
    <mergeCell ref="W37:W38"/>
    <mergeCell ref="X37:X38"/>
    <mergeCell ref="AL36:AL38"/>
    <mergeCell ref="H37:H38"/>
    <mergeCell ref="I37:I38"/>
    <mergeCell ref="J37:J38"/>
    <mergeCell ref="K37:K38"/>
    <mergeCell ref="AM48:AM50"/>
    <mergeCell ref="AN48:AN50"/>
    <mergeCell ref="G49:G50"/>
    <mergeCell ref="N48:N50"/>
    <mergeCell ref="V48:V50"/>
    <mergeCell ref="AL48:AL50"/>
    <mergeCell ref="H49:H50"/>
    <mergeCell ref="AC49:AC50"/>
    <mergeCell ref="W49:W50"/>
    <mergeCell ref="X49:X50"/>
    <mergeCell ref="Y49:Y50"/>
    <mergeCell ref="I49:I50"/>
    <mergeCell ref="J49:J50"/>
    <mergeCell ref="K49:K50"/>
    <mergeCell ref="L49:L50"/>
    <mergeCell ref="M49:M50"/>
    <mergeCell ref="R49:R50"/>
    <mergeCell ref="S49:S50"/>
    <mergeCell ref="T49:T50"/>
    <mergeCell ref="U49:U50"/>
    <mergeCell ref="O49:O50"/>
    <mergeCell ref="Z49:Z50"/>
    <mergeCell ref="AA49:AA50"/>
    <mergeCell ref="AB49:AB50"/>
    <mergeCell ref="AM55:AM57"/>
    <mergeCell ref="AN55:AN57"/>
    <mergeCell ref="N55:N57"/>
    <mergeCell ref="V55:V57"/>
    <mergeCell ref="G56:G57"/>
    <mergeCell ref="H56:H57"/>
    <mergeCell ref="K56:K57"/>
    <mergeCell ref="L56:L57"/>
    <mergeCell ref="M56:M57"/>
    <mergeCell ref="X56:X57"/>
    <mergeCell ref="P56:P57"/>
    <mergeCell ref="Q56:Q57"/>
    <mergeCell ref="R56:R57"/>
    <mergeCell ref="S56:S57"/>
    <mergeCell ref="T56:T57"/>
    <mergeCell ref="U56:U57"/>
    <mergeCell ref="I56:I57"/>
    <mergeCell ref="J56:J57"/>
    <mergeCell ref="O56:O57"/>
    <mergeCell ref="AL55:AL57"/>
    <mergeCell ref="X70:X71"/>
    <mergeCell ref="B48:B50"/>
    <mergeCell ref="C48:C50"/>
    <mergeCell ref="C44:C46"/>
    <mergeCell ref="B76:B78"/>
    <mergeCell ref="C76:C78"/>
    <mergeCell ref="B58:B59"/>
    <mergeCell ref="B60:B61"/>
    <mergeCell ref="B51:B52"/>
    <mergeCell ref="C51:C52"/>
    <mergeCell ref="B55:B57"/>
    <mergeCell ref="C55:C57"/>
    <mergeCell ref="B39:B46"/>
    <mergeCell ref="B64:B66"/>
    <mergeCell ref="C64:C66"/>
    <mergeCell ref="C39:C41"/>
    <mergeCell ref="C42:C43"/>
    <mergeCell ref="C58:C61"/>
    <mergeCell ref="C72:C74"/>
    <mergeCell ref="B72:B74"/>
    <mergeCell ref="B69:B71"/>
    <mergeCell ref="C69:C71"/>
    <mergeCell ref="X65:X66"/>
    <mergeCell ref="I70:I71"/>
    <mergeCell ref="AL64:AL66"/>
    <mergeCell ref="AM64:AM66"/>
    <mergeCell ref="AN64:AN66"/>
    <mergeCell ref="AA65:AA66"/>
    <mergeCell ref="AB65:AB66"/>
    <mergeCell ref="AC65:AC66"/>
    <mergeCell ref="Y65:Y66"/>
    <mergeCell ref="Z65:Z66"/>
    <mergeCell ref="AL69:AL71"/>
    <mergeCell ref="AM69:AM71"/>
    <mergeCell ref="AN69:AN71"/>
    <mergeCell ref="Y70:Y71"/>
    <mergeCell ref="Z70:Z71"/>
    <mergeCell ref="AA70:AA71"/>
    <mergeCell ref="AB70:AB71"/>
    <mergeCell ref="AC70:AC71"/>
    <mergeCell ref="AI70:AI71"/>
    <mergeCell ref="AJ70:AJ71"/>
    <mergeCell ref="AK70:AK71"/>
    <mergeCell ref="AH65:AH66"/>
    <mergeCell ref="AI65:AI66"/>
    <mergeCell ref="AJ65:AJ66"/>
    <mergeCell ref="AK65:AK66"/>
    <mergeCell ref="AE70:AE71"/>
    <mergeCell ref="J70:J71"/>
    <mergeCell ref="J65:J66"/>
    <mergeCell ref="K65:K66"/>
    <mergeCell ref="L65:L66"/>
    <mergeCell ref="N64:N66"/>
    <mergeCell ref="V64:V66"/>
    <mergeCell ref="K70:K71"/>
    <mergeCell ref="L70:L71"/>
    <mergeCell ref="M70:M71"/>
    <mergeCell ref="O70:O71"/>
    <mergeCell ref="P70:P71"/>
    <mergeCell ref="Q70:Q71"/>
    <mergeCell ref="R70:R71"/>
    <mergeCell ref="S70:S71"/>
    <mergeCell ref="T70:T71"/>
    <mergeCell ref="U70:U71"/>
    <mergeCell ref="R65:R66"/>
    <mergeCell ref="S65:S66"/>
    <mergeCell ref="N69:N71"/>
    <mergeCell ref="V69:V71"/>
    <mergeCell ref="AN76:AN78"/>
    <mergeCell ref="AC77:AC78"/>
    <mergeCell ref="N76:N78"/>
    <mergeCell ref="V76:V78"/>
    <mergeCell ref="G77:G78"/>
    <mergeCell ref="H77:H78"/>
    <mergeCell ref="W77:W78"/>
    <mergeCell ref="X77:X78"/>
    <mergeCell ref="Y77:Y78"/>
    <mergeCell ref="Z77:Z78"/>
    <mergeCell ref="AA77:AA78"/>
    <mergeCell ref="AB77:AB78"/>
    <mergeCell ref="P77:P78"/>
    <mergeCell ref="Q77:Q78"/>
    <mergeCell ref="R77:R78"/>
    <mergeCell ref="S77:S78"/>
    <mergeCell ref="AL76:AL78"/>
    <mergeCell ref="AM76:AM78"/>
    <mergeCell ref="T77:T78"/>
    <mergeCell ref="U77:U78"/>
    <mergeCell ref="AN91:AN93"/>
    <mergeCell ref="J92:J93"/>
    <mergeCell ref="K92:K93"/>
    <mergeCell ref="L92:L93"/>
    <mergeCell ref="M92:M93"/>
    <mergeCell ref="AE92:AE93"/>
    <mergeCell ref="AF92:AF93"/>
    <mergeCell ref="AG92:AG93"/>
    <mergeCell ref="AH92:AH93"/>
    <mergeCell ref="AI92:AI93"/>
    <mergeCell ref="AJ92:AJ93"/>
    <mergeCell ref="AK92:AK93"/>
    <mergeCell ref="AB92:AB93"/>
    <mergeCell ref="AC92:AC93"/>
    <mergeCell ref="Y92:Y93"/>
    <mergeCell ref="Z92:Z93"/>
    <mergeCell ref="AA92:AA93"/>
    <mergeCell ref="B97:B98"/>
    <mergeCell ref="C97:C98"/>
    <mergeCell ref="B91:B93"/>
    <mergeCell ref="C91:C93"/>
    <mergeCell ref="U92:U93"/>
    <mergeCell ref="W92:W93"/>
    <mergeCell ref="X92:X93"/>
    <mergeCell ref="O92:O93"/>
    <mergeCell ref="P92:P93"/>
    <mergeCell ref="Q92:Q93"/>
    <mergeCell ref="R92:R93"/>
    <mergeCell ref="S92:S93"/>
    <mergeCell ref="T92:T93"/>
    <mergeCell ref="G92:G93"/>
    <mergeCell ref="H92:H93"/>
    <mergeCell ref="I92:I93"/>
    <mergeCell ref="AL81:AL83"/>
    <mergeCell ref="AM81:AM83"/>
    <mergeCell ref="B94:B96"/>
    <mergeCell ref="C94:C96"/>
    <mergeCell ref="N91:N93"/>
    <mergeCell ref="V91:V93"/>
    <mergeCell ref="AL91:AL93"/>
    <mergeCell ref="AM91:AM93"/>
    <mergeCell ref="N81:N83"/>
    <mergeCell ref="C81:C83"/>
    <mergeCell ref="B81:B83"/>
    <mergeCell ref="R82:R83"/>
    <mergeCell ref="S82:S83"/>
    <mergeCell ref="T82:T83"/>
    <mergeCell ref="AB82:AB83"/>
    <mergeCell ref="AC82:AC83"/>
    <mergeCell ref="AE82:AE83"/>
    <mergeCell ref="AF82:AF83"/>
    <mergeCell ref="G82:G83"/>
    <mergeCell ref="H82:H83"/>
    <mergeCell ref="V81:V83"/>
    <mergeCell ref="AL101:AL103"/>
    <mergeCell ref="L102:L103"/>
    <mergeCell ref="M102:M103"/>
    <mergeCell ref="O102:O103"/>
    <mergeCell ref="P102:P103"/>
    <mergeCell ref="AN81:AN83"/>
    <mergeCell ref="J82:J83"/>
    <mergeCell ref="K82:K83"/>
    <mergeCell ref="L82:L83"/>
    <mergeCell ref="M82:M83"/>
    <mergeCell ref="AG82:AG83"/>
    <mergeCell ref="AH82:AH83"/>
    <mergeCell ref="AI82:AI83"/>
    <mergeCell ref="AJ82:AJ83"/>
    <mergeCell ref="AK82:AK83"/>
    <mergeCell ref="U82:U83"/>
    <mergeCell ref="W82:W83"/>
    <mergeCell ref="X82:X83"/>
    <mergeCell ref="Y82:Y83"/>
    <mergeCell ref="Z82:Z83"/>
    <mergeCell ref="AA82:AA83"/>
    <mergeCell ref="O82:O83"/>
    <mergeCell ref="P82:P83"/>
    <mergeCell ref="Q82:Q83"/>
    <mergeCell ref="U102:U103"/>
    <mergeCell ref="W102:W103"/>
    <mergeCell ref="G102:G103"/>
    <mergeCell ref="H102:H103"/>
    <mergeCell ref="I102:I103"/>
    <mergeCell ref="J102:J103"/>
    <mergeCell ref="K102:K103"/>
    <mergeCell ref="N101:N103"/>
    <mergeCell ref="V101:V103"/>
    <mergeCell ref="B101:B103"/>
    <mergeCell ref="C101:C103"/>
    <mergeCell ref="Q2:W2"/>
    <mergeCell ref="Q3:W3"/>
    <mergeCell ref="Q4:W4"/>
    <mergeCell ref="B5:AV6"/>
    <mergeCell ref="B104:B105"/>
    <mergeCell ref="C104:C105"/>
    <mergeCell ref="B2:D4"/>
    <mergeCell ref="E2:P4"/>
    <mergeCell ref="X2:AI4"/>
    <mergeCell ref="X102:X103"/>
    <mergeCell ref="Y102:Y103"/>
    <mergeCell ref="Z102:Z103"/>
    <mergeCell ref="AA102:AA103"/>
    <mergeCell ref="I82:I83"/>
    <mergeCell ref="AM101:AM103"/>
    <mergeCell ref="AN101:AN103"/>
    <mergeCell ref="AB102:AB103"/>
    <mergeCell ref="AC102:AC103"/>
    <mergeCell ref="Q102:Q103"/>
    <mergeCell ref="R102:R103"/>
    <mergeCell ref="S102:S103"/>
    <mergeCell ref="T102:T103"/>
    <mergeCell ref="G115:G116"/>
    <mergeCell ref="H115:H116"/>
    <mergeCell ref="I115:I116"/>
    <mergeCell ref="J115:J116"/>
    <mergeCell ref="K115:K116"/>
    <mergeCell ref="L115:L116"/>
    <mergeCell ref="M115:M116"/>
    <mergeCell ref="U114:U116"/>
    <mergeCell ref="AC114:AC116"/>
    <mergeCell ref="N115:N116"/>
    <mergeCell ref="O115:O116"/>
    <mergeCell ref="P115:P116"/>
    <mergeCell ref="Q115:Q116"/>
    <mergeCell ref="R115:R116"/>
    <mergeCell ref="S115:S116"/>
    <mergeCell ref="T115:T116"/>
    <mergeCell ref="V115:V116"/>
    <mergeCell ref="W115:W116"/>
    <mergeCell ref="X115:X116"/>
    <mergeCell ref="Y115:Y116"/>
    <mergeCell ref="Z115:Z116"/>
    <mergeCell ref="AA115:AA116"/>
    <mergeCell ref="AB115:AB116"/>
    <mergeCell ref="AD115:AD116"/>
    <mergeCell ref="AE115:AE116"/>
    <mergeCell ref="AF115:AF116"/>
    <mergeCell ref="AG115:AG116"/>
    <mergeCell ref="AH115:AH116"/>
    <mergeCell ref="AI115:AI116"/>
    <mergeCell ref="AJ115:AJ116"/>
    <mergeCell ref="AL115:AL116"/>
    <mergeCell ref="AM115:AM116"/>
    <mergeCell ref="AN115:AN116"/>
    <mergeCell ref="AO115:AO116"/>
    <mergeCell ref="AK114:AK116"/>
    <mergeCell ref="AP115:AP116"/>
    <mergeCell ref="AQ115:AQ116"/>
    <mergeCell ref="AR115:AR116"/>
    <mergeCell ref="U126:U128"/>
    <mergeCell ref="AC126:AC128"/>
    <mergeCell ref="AK126:AK128"/>
    <mergeCell ref="X127:X128"/>
    <mergeCell ref="Y127:Y128"/>
    <mergeCell ref="Z127:Z128"/>
    <mergeCell ref="AA127:AA128"/>
    <mergeCell ref="AB127:AB128"/>
    <mergeCell ref="AD127:AD128"/>
    <mergeCell ref="AE127:AE128"/>
    <mergeCell ref="AF127:AF128"/>
    <mergeCell ref="AG127:AG128"/>
    <mergeCell ref="AR127:AR128"/>
    <mergeCell ref="AJ127:AJ128"/>
    <mergeCell ref="AL127:AL128"/>
    <mergeCell ref="AM127:AM128"/>
    <mergeCell ref="AN127:AN128"/>
    <mergeCell ref="AO127:AO128"/>
    <mergeCell ref="AP127:AP128"/>
    <mergeCell ref="AQ127:AQ128"/>
    <mergeCell ref="G127:G128"/>
    <mergeCell ref="H127:H128"/>
    <mergeCell ref="I127:I128"/>
    <mergeCell ref="J127:J128"/>
    <mergeCell ref="K127:K128"/>
    <mergeCell ref="L127:L128"/>
    <mergeCell ref="M127:M128"/>
    <mergeCell ref="AH127:AH128"/>
    <mergeCell ref="AI127:AI128"/>
    <mergeCell ref="N127:N128"/>
    <mergeCell ref="O127:O128"/>
    <mergeCell ref="P127:P128"/>
    <mergeCell ref="Q127:Q128"/>
    <mergeCell ref="R127:R128"/>
    <mergeCell ref="S127:S128"/>
    <mergeCell ref="T127:T128"/>
    <mergeCell ref="V127:V128"/>
    <mergeCell ref="W127:W128"/>
  </mergeCells>
  <conditionalFormatting sqref="G61:G62">
    <cfRule type="containsText" dxfId="10" priority="9" operator="containsText" text="X">
      <formula>NOT(ISERROR(SEARCH("X",G61)))</formula>
    </cfRule>
  </conditionalFormatting>
  <conditionalFormatting sqref="M67">
    <cfRule type="containsText" dxfId="9" priority="3" operator="containsText" text="W">
      <formula>NOT(ISERROR(SEARCH("W",M67)))</formula>
    </cfRule>
    <cfRule type="containsText" dxfId="8" priority="4" operator="containsText" text="X">
      <formula>NOT(ISERROR(SEARCH("X",M67)))</formula>
    </cfRule>
    <cfRule type="containsText" dxfId="7" priority="5" operator="containsText" text="X">
      <formula>NOT(ISERROR(SEARCH("X",M67)))</formula>
    </cfRule>
  </conditionalFormatting>
  <conditionalFormatting sqref="O62">
    <cfRule type="containsText" dxfId="6" priority="8" operator="containsText" text="X">
      <formula>NOT(ISERROR(SEARCH("X",O62)))</formula>
    </cfRule>
  </conditionalFormatting>
  <conditionalFormatting sqref="T72">
    <cfRule type="containsText" dxfId="5" priority="44" operator="containsText" text="X">
      <formula>NOT(ISERROR(SEARCH("X",T72)))</formula>
    </cfRule>
  </conditionalFormatting>
  <conditionalFormatting sqref="U67 Y67:Z67">
    <cfRule type="containsText" dxfId="4" priority="2" operator="containsText" text="X">
      <formula>NOT(ISERROR(SEARCH("X",U67)))</formula>
    </cfRule>
  </conditionalFormatting>
  <conditionalFormatting sqref="W62">
    <cfRule type="containsText" dxfId="3" priority="7" operator="containsText" text="X">
      <formula>NOT(ISERROR(SEARCH("X",W62)))</formula>
    </cfRule>
  </conditionalFormatting>
  <conditionalFormatting sqref="AE62">
    <cfRule type="containsText" dxfId="2" priority="6" operator="containsText" text="X">
      <formula>NOT(ISERROR(SEARCH("X",AE62)))</formula>
    </cfRule>
  </conditionalFormatting>
  <conditionalFormatting sqref="AJ72">
    <cfRule type="containsText" dxfId="1" priority="32" operator="containsText" text="X">
      <formula>NOT(ISERROR(SEARCH("X",AJ72)))</formula>
    </cfRule>
  </conditionalFormatting>
  <conditionalFormatting sqref="AK67">
    <cfRule type="containsText" dxfId="0" priority="1" operator="containsText" text="X">
      <formula>NOT(ISERROR(SEARCH("X",AK67)))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8437-54E0-4F7D-84C0-67024FD9AEFC}">
  <sheetPr>
    <tabColor theme="4" tint="0.39997558519241921"/>
  </sheetPr>
  <dimension ref="B1:AJ37"/>
  <sheetViews>
    <sheetView zoomScale="80" zoomScaleNormal="80" workbookViewId="0">
      <pane ySplit="6" topLeftCell="A7" activePane="bottomLeft" state="frozen"/>
      <selection pane="bottomLeft" activeCell="C30" sqref="C30:D30"/>
    </sheetView>
  </sheetViews>
  <sheetFormatPr baseColWidth="10" defaultColWidth="11.42578125" defaultRowHeight="15"/>
  <cols>
    <col min="1" max="1" width="3.7109375" style="132" customWidth="1"/>
    <col min="2" max="2" width="11.42578125" style="132"/>
    <col min="3" max="3" width="19.42578125" style="132" bestFit="1" customWidth="1"/>
    <col min="4" max="4" width="21" style="132" customWidth="1"/>
    <col min="5" max="11" width="3.28515625" style="132" customWidth="1"/>
    <col min="12" max="12" width="4.7109375" style="132" customWidth="1"/>
    <col min="13" max="19" width="3.28515625" style="132" customWidth="1"/>
    <col min="20" max="20" width="4.7109375" style="132" customWidth="1"/>
    <col min="21" max="27" width="3.28515625" style="132" customWidth="1"/>
    <col min="28" max="28" width="4.7109375" style="132" customWidth="1"/>
    <col min="29" max="35" width="3.28515625" style="132" customWidth="1"/>
    <col min="36" max="36" width="4.7109375" style="132" customWidth="1"/>
    <col min="37" max="16384" width="11.42578125" style="132"/>
  </cols>
  <sheetData>
    <row r="1" spans="2:36" ht="15.75" thickBot="1"/>
    <row r="2" spans="2:36" ht="15.75" thickBot="1">
      <c r="B2" s="664" t="e" vm="6">
        <v>#VALUE!</v>
      </c>
      <c r="C2" s="666"/>
      <c r="D2" s="667" t="s">
        <v>696</v>
      </c>
      <c r="E2" s="818"/>
      <c r="F2" s="818"/>
      <c r="G2" s="818"/>
      <c r="H2" s="818"/>
      <c r="I2" s="818"/>
      <c r="J2" s="818"/>
      <c r="K2" s="818"/>
      <c r="L2" s="818"/>
      <c r="M2" s="818"/>
      <c r="N2" s="819"/>
      <c r="O2" s="664" t="e" vm="7">
        <v>#VALUE!</v>
      </c>
      <c r="P2" s="665"/>
      <c r="Q2" s="665"/>
      <c r="R2" s="665"/>
      <c r="S2" s="665"/>
      <c r="T2" s="665"/>
      <c r="U2" s="665"/>
      <c r="V2" s="665"/>
      <c r="W2" s="665"/>
      <c r="X2" s="665"/>
      <c r="Y2" s="665"/>
      <c r="Z2" s="665"/>
      <c r="AA2" s="666"/>
      <c r="AB2" s="1"/>
      <c r="AC2" s="1"/>
      <c r="AD2" s="1"/>
      <c r="AE2" s="1"/>
      <c r="AF2" s="1"/>
      <c r="AG2" s="1"/>
      <c r="AH2" s="1"/>
      <c r="AI2" s="1"/>
    </row>
    <row r="3" spans="2:36" ht="15.75" thickBot="1">
      <c r="B3" s="649"/>
      <c r="C3" s="651"/>
      <c r="D3" s="669"/>
      <c r="E3" s="818"/>
      <c r="F3" s="818"/>
      <c r="G3" s="818"/>
      <c r="H3" s="818"/>
      <c r="I3" s="818"/>
      <c r="J3" s="818"/>
      <c r="K3" s="818"/>
      <c r="L3" s="818"/>
      <c r="M3" s="818"/>
      <c r="N3" s="819"/>
      <c r="O3" s="649"/>
      <c r="P3" s="650"/>
      <c r="Q3" s="650"/>
      <c r="R3" s="650"/>
      <c r="S3" s="650"/>
      <c r="T3" s="650"/>
      <c r="U3" s="650"/>
      <c r="V3" s="650"/>
      <c r="W3" s="650"/>
      <c r="X3" s="650"/>
      <c r="Y3" s="650"/>
      <c r="Z3" s="650"/>
      <c r="AA3" s="651"/>
    </row>
    <row r="4" spans="2:36" ht="15.75" thickBot="1">
      <c r="B4" s="652"/>
      <c r="C4" s="654"/>
      <c r="D4" s="858"/>
      <c r="E4" s="818"/>
      <c r="F4" s="818"/>
      <c r="G4" s="818"/>
      <c r="H4" s="818"/>
      <c r="I4" s="818"/>
      <c r="J4" s="818"/>
      <c r="K4" s="818"/>
      <c r="L4" s="818"/>
      <c r="M4" s="818"/>
      <c r="N4" s="819"/>
      <c r="O4" s="652"/>
      <c r="P4" s="653"/>
      <c r="Q4" s="653"/>
      <c r="R4" s="653"/>
      <c r="S4" s="653"/>
      <c r="T4" s="653"/>
      <c r="U4" s="653"/>
      <c r="V4" s="653"/>
      <c r="W4" s="653"/>
      <c r="X4" s="653"/>
      <c r="Y4" s="653"/>
      <c r="Z4" s="653"/>
      <c r="AA4" s="654"/>
    </row>
    <row r="5" spans="2:36" ht="15.75" customHeight="1">
      <c r="B5" s="658" t="s">
        <v>696</v>
      </c>
      <c r="C5" s="659"/>
      <c r="D5" s="659"/>
      <c r="E5" s="659"/>
      <c r="F5" s="659"/>
      <c r="G5" s="659"/>
      <c r="H5" s="659"/>
      <c r="I5" s="659"/>
      <c r="J5" s="659"/>
      <c r="K5" s="659"/>
      <c r="L5" s="659"/>
      <c r="M5" s="659"/>
      <c r="N5" s="659"/>
      <c r="O5" s="659"/>
      <c r="P5" s="659"/>
      <c r="Q5" s="659"/>
      <c r="R5" s="659"/>
      <c r="S5" s="659"/>
      <c r="T5" s="659"/>
      <c r="U5" s="659"/>
      <c r="V5" s="659"/>
      <c r="W5" s="659"/>
      <c r="X5" s="659"/>
      <c r="Y5" s="659"/>
      <c r="Z5" s="659"/>
      <c r="AA5" s="659"/>
      <c r="AB5" s="659"/>
      <c r="AC5" s="659"/>
      <c r="AD5" s="659"/>
      <c r="AE5" s="659"/>
      <c r="AF5" s="659"/>
      <c r="AG5" s="659"/>
      <c r="AH5" s="659"/>
      <c r="AI5" s="659"/>
      <c r="AJ5" s="805"/>
    </row>
    <row r="6" spans="2:36" ht="15.75" customHeight="1" thickBot="1">
      <c r="B6" s="660"/>
      <c r="C6" s="661"/>
      <c r="D6" s="661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  <c r="P6" s="661"/>
      <c r="Q6" s="661"/>
      <c r="R6" s="661"/>
      <c r="S6" s="661"/>
      <c r="T6" s="661"/>
      <c r="U6" s="661"/>
      <c r="V6" s="661"/>
      <c r="W6" s="661"/>
      <c r="X6" s="661"/>
      <c r="Y6" s="661"/>
      <c r="Z6" s="661"/>
      <c r="AA6" s="661"/>
      <c r="AB6" s="661"/>
      <c r="AC6" s="661"/>
      <c r="AD6" s="661"/>
      <c r="AE6" s="661"/>
      <c r="AF6" s="661"/>
      <c r="AG6" s="661"/>
      <c r="AH6" s="661"/>
      <c r="AI6" s="661"/>
      <c r="AJ6" s="806"/>
    </row>
    <row r="8" spans="2:36" ht="15" customHeight="1">
      <c r="B8" s="196" t="s">
        <v>101</v>
      </c>
      <c r="C8" s="196" t="s">
        <v>48</v>
      </c>
      <c r="D8" s="196" t="s">
        <v>102</v>
      </c>
      <c r="E8" s="483" t="s">
        <v>103</v>
      </c>
      <c r="F8" s="483" t="s">
        <v>104</v>
      </c>
      <c r="G8" s="483" t="s">
        <v>104</v>
      </c>
      <c r="H8" s="483" t="s">
        <v>105</v>
      </c>
      <c r="I8" s="483" t="s">
        <v>106</v>
      </c>
      <c r="J8" s="483" t="s">
        <v>107</v>
      </c>
      <c r="K8" s="483" t="s">
        <v>108</v>
      </c>
      <c r="L8" s="820" t="s">
        <v>109</v>
      </c>
      <c r="M8" s="484" t="s">
        <v>103</v>
      </c>
      <c r="N8" s="484" t="s">
        <v>104</v>
      </c>
      <c r="O8" s="484" t="s">
        <v>104</v>
      </c>
      <c r="P8" s="484" t="s">
        <v>105</v>
      </c>
      <c r="Q8" s="484" t="s">
        <v>106</v>
      </c>
      <c r="R8" s="484" t="s">
        <v>107</v>
      </c>
      <c r="S8" s="484" t="s">
        <v>108</v>
      </c>
      <c r="T8" s="820" t="s">
        <v>109</v>
      </c>
      <c r="U8" s="485" t="s">
        <v>103</v>
      </c>
      <c r="V8" s="485" t="s">
        <v>104</v>
      </c>
      <c r="W8" s="485" t="s">
        <v>104</v>
      </c>
      <c r="X8" s="485" t="s">
        <v>105</v>
      </c>
      <c r="Y8" s="485" t="s">
        <v>106</v>
      </c>
      <c r="Z8" s="485" t="s">
        <v>107</v>
      </c>
      <c r="AA8" s="485" t="s">
        <v>108</v>
      </c>
      <c r="AB8" s="820" t="s">
        <v>109</v>
      </c>
      <c r="AC8" s="486" t="s">
        <v>103</v>
      </c>
      <c r="AD8" s="486" t="s">
        <v>104</v>
      </c>
      <c r="AE8" s="486" t="s">
        <v>104</v>
      </c>
      <c r="AF8" s="487" t="s">
        <v>105</v>
      </c>
      <c r="AG8" s="487" t="s">
        <v>106</v>
      </c>
      <c r="AH8" s="487" t="s">
        <v>107</v>
      </c>
      <c r="AI8" s="487" t="s">
        <v>108</v>
      </c>
      <c r="AJ8" s="855" t="s">
        <v>109</v>
      </c>
    </row>
    <row r="9" spans="2:36">
      <c r="B9" s="196" t="s">
        <v>112</v>
      </c>
      <c r="C9" s="196" t="s">
        <v>845</v>
      </c>
      <c r="D9" s="196" t="s">
        <v>113</v>
      </c>
      <c r="E9" s="816">
        <v>7</v>
      </c>
      <c r="F9" s="816">
        <v>8</v>
      </c>
      <c r="G9" s="816">
        <v>9</v>
      </c>
      <c r="H9" s="816">
        <v>10</v>
      </c>
      <c r="I9" s="816">
        <v>11</v>
      </c>
      <c r="J9" s="816">
        <v>12</v>
      </c>
      <c r="K9" s="816">
        <v>13</v>
      </c>
      <c r="L9" s="820"/>
      <c r="M9" s="816">
        <v>14</v>
      </c>
      <c r="N9" s="816">
        <v>15</v>
      </c>
      <c r="O9" s="816">
        <v>16</v>
      </c>
      <c r="P9" s="816">
        <v>17</v>
      </c>
      <c r="Q9" s="816">
        <v>18</v>
      </c>
      <c r="R9" s="816">
        <v>19</v>
      </c>
      <c r="S9" s="816">
        <v>20</v>
      </c>
      <c r="T9" s="820"/>
      <c r="U9" s="816">
        <v>21</v>
      </c>
      <c r="V9" s="816">
        <v>22</v>
      </c>
      <c r="W9" s="816">
        <v>23</v>
      </c>
      <c r="X9" s="816">
        <v>24</v>
      </c>
      <c r="Y9" s="816">
        <v>25</v>
      </c>
      <c r="Z9" s="816">
        <v>26</v>
      </c>
      <c r="AA9" s="816">
        <v>27</v>
      </c>
      <c r="AB9" s="820"/>
      <c r="AC9" s="816">
        <v>28</v>
      </c>
      <c r="AD9" s="816">
        <v>29</v>
      </c>
      <c r="AE9" s="816">
        <v>30</v>
      </c>
      <c r="AF9" s="816">
        <v>1</v>
      </c>
      <c r="AG9" s="816">
        <v>2</v>
      </c>
      <c r="AH9" s="816">
        <v>3</v>
      </c>
      <c r="AI9" s="816">
        <v>4</v>
      </c>
      <c r="AJ9" s="856"/>
    </row>
    <row r="10" spans="2:36">
      <c r="B10" s="325" t="s">
        <v>42</v>
      </c>
      <c r="C10" s="218" t="s">
        <v>114</v>
      </c>
      <c r="D10" s="218" t="s">
        <v>115</v>
      </c>
      <c r="E10" s="816"/>
      <c r="F10" s="816"/>
      <c r="G10" s="816"/>
      <c r="H10" s="816"/>
      <c r="I10" s="816"/>
      <c r="J10" s="816"/>
      <c r="K10" s="816"/>
      <c r="L10" s="820"/>
      <c r="M10" s="816"/>
      <c r="N10" s="816"/>
      <c r="O10" s="816"/>
      <c r="P10" s="816"/>
      <c r="Q10" s="816"/>
      <c r="R10" s="816"/>
      <c r="S10" s="816"/>
      <c r="T10" s="820"/>
      <c r="U10" s="816"/>
      <c r="V10" s="816"/>
      <c r="W10" s="816"/>
      <c r="X10" s="816"/>
      <c r="Y10" s="816"/>
      <c r="Z10" s="816"/>
      <c r="AA10" s="816"/>
      <c r="AB10" s="820"/>
      <c r="AC10" s="816"/>
      <c r="AD10" s="816"/>
      <c r="AE10" s="816"/>
      <c r="AF10" s="816"/>
      <c r="AG10" s="816"/>
      <c r="AH10" s="816"/>
      <c r="AI10" s="816"/>
      <c r="AJ10" s="857"/>
    </row>
    <row r="11" spans="2:36">
      <c r="B11" s="198">
        <v>1</v>
      </c>
      <c r="C11" s="358" t="s">
        <v>120</v>
      </c>
      <c r="D11" s="358" t="s">
        <v>121</v>
      </c>
      <c r="E11" s="322" t="s">
        <v>116</v>
      </c>
      <c r="F11" s="322" t="s">
        <v>116</v>
      </c>
      <c r="G11" s="12" t="s">
        <v>117</v>
      </c>
      <c r="H11" s="12" t="s">
        <v>117</v>
      </c>
      <c r="I11" s="322" t="s">
        <v>108</v>
      </c>
      <c r="J11" s="322" t="s">
        <v>108</v>
      </c>
      <c r="K11" s="322" t="s">
        <v>108</v>
      </c>
      <c r="L11" s="384">
        <v>60</v>
      </c>
      <c r="M11" s="322" t="s">
        <v>116</v>
      </c>
      <c r="N11" s="322" t="s">
        <v>116</v>
      </c>
      <c r="O11" s="12" t="s">
        <v>117</v>
      </c>
      <c r="P11" s="12" t="s">
        <v>117</v>
      </c>
      <c r="Q11" s="322" t="s">
        <v>108</v>
      </c>
      <c r="R11" s="322" t="s">
        <v>108</v>
      </c>
      <c r="S11" s="322" t="s">
        <v>108</v>
      </c>
      <c r="T11" s="384">
        <v>60</v>
      </c>
      <c r="U11" s="322" t="s">
        <v>116</v>
      </c>
      <c r="V11" s="322" t="s">
        <v>116</v>
      </c>
      <c r="W11" s="12" t="s">
        <v>117</v>
      </c>
      <c r="X11" s="12" t="s">
        <v>117</v>
      </c>
      <c r="Y11" s="322" t="s">
        <v>108</v>
      </c>
      <c r="Z11" s="322" t="s">
        <v>108</v>
      </c>
      <c r="AA11" s="322" t="s">
        <v>108</v>
      </c>
      <c r="AB11" s="384">
        <v>60</v>
      </c>
      <c r="AC11" s="322" t="s">
        <v>116</v>
      </c>
      <c r="AD11" s="322" t="s">
        <v>116</v>
      </c>
      <c r="AE11" s="12" t="s">
        <v>117</v>
      </c>
      <c r="AF11" s="12" t="s">
        <v>117</v>
      </c>
      <c r="AG11" s="322" t="s">
        <v>108</v>
      </c>
      <c r="AH11" s="322" t="s">
        <v>108</v>
      </c>
      <c r="AI11" s="322" t="s">
        <v>108</v>
      </c>
      <c r="AJ11" s="384">
        <v>60</v>
      </c>
    </row>
    <row r="12" spans="2:36">
      <c r="B12" s="198">
        <v>2</v>
      </c>
      <c r="C12" s="358" t="s">
        <v>122</v>
      </c>
      <c r="D12" s="441" t="s">
        <v>123</v>
      </c>
      <c r="E12" s="322" t="s">
        <v>108</v>
      </c>
      <c r="F12" s="322" t="s">
        <v>108</v>
      </c>
      <c r="G12" s="322" t="s">
        <v>116</v>
      </c>
      <c r="H12" s="322" t="s">
        <v>116</v>
      </c>
      <c r="I12" s="322" t="s">
        <v>116</v>
      </c>
      <c r="J12" s="12" t="s">
        <v>117</v>
      </c>
      <c r="K12" s="12" t="s">
        <v>117</v>
      </c>
      <c r="L12" s="385">
        <v>60</v>
      </c>
      <c r="M12" s="322" t="s">
        <v>108</v>
      </c>
      <c r="N12" s="322" t="s">
        <v>108</v>
      </c>
      <c r="O12" s="322" t="s">
        <v>116</v>
      </c>
      <c r="P12" s="322" t="s">
        <v>116</v>
      </c>
      <c r="Q12" s="322" t="s">
        <v>116</v>
      </c>
      <c r="R12" s="12" t="s">
        <v>117</v>
      </c>
      <c r="S12" s="12" t="s">
        <v>117</v>
      </c>
      <c r="T12" s="385">
        <v>60</v>
      </c>
      <c r="U12" s="322" t="s">
        <v>108</v>
      </c>
      <c r="V12" s="322" t="s">
        <v>108</v>
      </c>
      <c r="W12" s="322" t="s">
        <v>116</v>
      </c>
      <c r="X12" s="322" t="s">
        <v>116</v>
      </c>
      <c r="Y12" s="322" t="s">
        <v>116</v>
      </c>
      <c r="Z12" s="12" t="s">
        <v>117</v>
      </c>
      <c r="AA12" s="12" t="s">
        <v>117</v>
      </c>
      <c r="AB12" s="385">
        <v>60</v>
      </c>
      <c r="AC12" s="322" t="s">
        <v>108</v>
      </c>
      <c r="AD12" s="322" t="s">
        <v>108</v>
      </c>
      <c r="AE12" s="322" t="s">
        <v>116</v>
      </c>
      <c r="AF12" s="322" t="s">
        <v>116</v>
      </c>
      <c r="AG12" s="322" t="s">
        <v>116</v>
      </c>
      <c r="AH12" s="12" t="s">
        <v>117</v>
      </c>
      <c r="AI12" s="12" t="s">
        <v>117</v>
      </c>
      <c r="AJ12" s="385">
        <v>60</v>
      </c>
    </row>
    <row r="13" spans="2:36">
      <c r="B13" s="198">
        <v>3</v>
      </c>
      <c r="C13" s="358" t="s">
        <v>124</v>
      </c>
      <c r="D13" s="451" t="s">
        <v>125</v>
      </c>
      <c r="E13" s="12" t="s">
        <v>117</v>
      </c>
      <c r="F13" s="12" t="s">
        <v>117</v>
      </c>
      <c r="G13" s="322" t="s">
        <v>108</v>
      </c>
      <c r="H13" s="322" t="s">
        <v>108</v>
      </c>
      <c r="I13" s="12" t="s">
        <v>117</v>
      </c>
      <c r="J13" s="322" t="s">
        <v>116</v>
      </c>
      <c r="K13" s="322" t="s">
        <v>116</v>
      </c>
      <c r="L13" s="384">
        <v>48</v>
      </c>
      <c r="M13" s="12" t="s">
        <v>117</v>
      </c>
      <c r="N13" s="12" t="s">
        <v>117</v>
      </c>
      <c r="O13" s="322" t="s">
        <v>108</v>
      </c>
      <c r="P13" s="322" t="s">
        <v>108</v>
      </c>
      <c r="Q13" s="12" t="s">
        <v>117</v>
      </c>
      <c r="R13" s="322" t="s">
        <v>116</v>
      </c>
      <c r="S13" s="322" t="s">
        <v>116</v>
      </c>
      <c r="T13" s="384">
        <v>48</v>
      </c>
      <c r="U13" s="12" t="s">
        <v>117</v>
      </c>
      <c r="V13" s="12" t="s">
        <v>117</v>
      </c>
      <c r="W13" s="322" t="s">
        <v>108</v>
      </c>
      <c r="X13" s="322" t="s">
        <v>108</v>
      </c>
      <c r="Y13" s="12" t="s">
        <v>117</v>
      </c>
      <c r="Z13" s="322" t="s">
        <v>116</v>
      </c>
      <c r="AA13" s="322" t="s">
        <v>116</v>
      </c>
      <c r="AB13" s="384">
        <v>48</v>
      </c>
      <c r="AC13" s="12" t="s">
        <v>117</v>
      </c>
      <c r="AD13" s="12" t="s">
        <v>117</v>
      </c>
      <c r="AE13" s="322" t="s">
        <v>108</v>
      </c>
      <c r="AF13" s="322" t="s">
        <v>108</v>
      </c>
      <c r="AG13" s="12" t="s">
        <v>117</v>
      </c>
      <c r="AH13" s="322" t="s">
        <v>116</v>
      </c>
      <c r="AI13" s="322" t="s">
        <v>116</v>
      </c>
      <c r="AJ13" s="384">
        <v>48</v>
      </c>
    </row>
    <row r="15" spans="2:36" ht="15.75" customHeight="1">
      <c r="B15" s="196" t="s">
        <v>101</v>
      </c>
      <c r="C15" s="196" t="s">
        <v>47</v>
      </c>
      <c r="D15" s="196" t="s">
        <v>102</v>
      </c>
      <c r="E15" s="483" t="s">
        <v>103</v>
      </c>
      <c r="F15" s="483" t="s">
        <v>104</v>
      </c>
      <c r="G15" s="483" t="s">
        <v>104</v>
      </c>
      <c r="H15" s="483" t="s">
        <v>105</v>
      </c>
      <c r="I15" s="483" t="s">
        <v>106</v>
      </c>
      <c r="J15" s="483" t="s">
        <v>107</v>
      </c>
      <c r="K15" s="483" t="s">
        <v>108</v>
      </c>
      <c r="L15" s="820" t="s">
        <v>109</v>
      </c>
      <c r="M15" s="484" t="s">
        <v>103</v>
      </c>
      <c r="N15" s="484" t="s">
        <v>104</v>
      </c>
      <c r="O15" s="484" t="s">
        <v>104</v>
      </c>
      <c r="P15" s="484" t="s">
        <v>105</v>
      </c>
      <c r="Q15" s="484" t="s">
        <v>106</v>
      </c>
      <c r="R15" s="484" t="s">
        <v>107</v>
      </c>
      <c r="S15" s="484" t="s">
        <v>108</v>
      </c>
      <c r="T15" s="820" t="s">
        <v>109</v>
      </c>
      <c r="U15" s="485" t="s">
        <v>103</v>
      </c>
      <c r="V15" s="485" t="s">
        <v>104</v>
      </c>
      <c r="W15" s="485" t="s">
        <v>104</v>
      </c>
      <c r="X15" s="485" t="s">
        <v>105</v>
      </c>
      <c r="Y15" s="485" t="s">
        <v>106</v>
      </c>
      <c r="Z15" s="485" t="s">
        <v>107</v>
      </c>
      <c r="AA15" s="485" t="s">
        <v>108</v>
      </c>
      <c r="AB15" s="820" t="s">
        <v>109</v>
      </c>
      <c r="AC15" s="486" t="s">
        <v>103</v>
      </c>
      <c r="AD15" s="486" t="s">
        <v>104</v>
      </c>
      <c r="AE15" s="486" t="s">
        <v>104</v>
      </c>
      <c r="AF15" s="487" t="s">
        <v>105</v>
      </c>
      <c r="AG15" s="487" t="s">
        <v>106</v>
      </c>
      <c r="AH15" s="487" t="s">
        <v>107</v>
      </c>
      <c r="AI15" s="487" t="s">
        <v>108</v>
      </c>
      <c r="AJ15" s="834" t="s">
        <v>109</v>
      </c>
    </row>
    <row r="16" spans="2:36">
      <c r="B16" s="196" t="s">
        <v>112</v>
      </c>
      <c r="C16" s="196" t="s">
        <v>845</v>
      </c>
      <c r="D16" s="196" t="s">
        <v>113</v>
      </c>
      <c r="E16" s="816">
        <v>7</v>
      </c>
      <c r="F16" s="816">
        <v>8</v>
      </c>
      <c r="G16" s="816">
        <v>9</v>
      </c>
      <c r="H16" s="816">
        <v>10</v>
      </c>
      <c r="I16" s="816">
        <v>11</v>
      </c>
      <c r="J16" s="816">
        <v>12</v>
      </c>
      <c r="K16" s="816">
        <v>13</v>
      </c>
      <c r="L16" s="820"/>
      <c r="M16" s="816">
        <v>14</v>
      </c>
      <c r="N16" s="816">
        <v>15</v>
      </c>
      <c r="O16" s="816">
        <v>16</v>
      </c>
      <c r="P16" s="816">
        <v>17</v>
      </c>
      <c r="Q16" s="816">
        <v>18</v>
      </c>
      <c r="R16" s="816">
        <v>19</v>
      </c>
      <c r="S16" s="816">
        <v>20</v>
      </c>
      <c r="T16" s="820"/>
      <c r="U16" s="816">
        <v>21</v>
      </c>
      <c r="V16" s="816">
        <v>22</v>
      </c>
      <c r="W16" s="816">
        <v>23</v>
      </c>
      <c r="X16" s="816">
        <v>24</v>
      </c>
      <c r="Y16" s="816">
        <v>25</v>
      </c>
      <c r="Z16" s="816">
        <v>26</v>
      </c>
      <c r="AA16" s="816">
        <v>27</v>
      </c>
      <c r="AB16" s="820"/>
      <c r="AC16" s="816">
        <v>28</v>
      </c>
      <c r="AD16" s="816">
        <v>29</v>
      </c>
      <c r="AE16" s="816">
        <v>30</v>
      </c>
      <c r="AF16" s="816">
        <v>1</v>
      </c>
      <c r="AG16" s="816">
        <v>2</v>
      </c>
      <c r="AH16" s="816">
        <v>3</v>
      </c>
      <c r="AI16" s="816">
        <v>4</v>
      </c>
      <c r="AJ16" s="834"/>
    </row>
    <row r="17" spans="2:36">
      <c r="B17" s="325" t="s">
        <v>42</v>
      </c>
      <c r="C17" s="218" t="s">
        <v>114</v>
      </c>
      <c r="D17" s="218" t="s">
        <v>115</v>
      </c>
      <c r="E17" s="816"/>
      <c r="F17" s="816"/>
      <c r="G17" s="816"/>
      <c r="H17" s="816"/>
      <c r="I17" s="816"/>
      <c r="J17" s="816"/>
      <c r="K17" s="816"/>
      <c r="L17" s="820"/>
      <c r="M17" s="816"/>
      <c r="N17" s="816"/>
      <c r="O17" s="816"/>
      <c r="P17" s="816"/>
      <c r="Q17" s="816"/>
      <c r="R17" s="816"/>
      <c r="S17" s="816"/>
      <c r="T17" s="820"/>
      <c r="U17" s="816"/>
      <c r="V17" s="816"/>
      <c r="W17" s="816"/>
      <c r="X17" s="816"/>
      <c r="Y17" s="816"/>
      <c r="Z17" s="816"/>
      <c r="AA17" s="816"/>
      <c r="AB17" s="820"/>
      <c r="AC17" s="816"/>
      <c r="AD17" s="816"/>
      <c r="AE17" s="816"/>
      <c r="AF17" s="816"/>
      <c r="AG17" s="816"/>
      <c r="AH17" s="816"/>
      <c r="AI17" s="816"/>
      <c r="AJ17" s="834"/>
    </row>
    <row r="18" spans="2:36">
      <c r="B18" s="198">
        <v>2</v>
      </c>
      <c r="C18" s="358" t="s">
        <v>842</v>
      </c>
      <c r="D18" s="358" t="s">
        <v>118</v>
      </c>
      <c r="E18" s="322" t="s">
        <v>108</v>
      </c>
      <c r="F18" s="322" t="s">
        <v>108</v>
      </c>
      <c r="G18" s="322" t="s">
        <v>108</v>
      </c>
      <c r="H18" s="322" t="s">
        <v>108</v>
      </c>
      <c r="I18" s="322" t="s">
        <v>108</v>
      </c>
      <c r="J18" s="12" t="s">
        <v>117</v>
      </c>
      <c r="K18" s="12" t="s">
        <v>117</v>
      </c>
      <c r="L18" s="385">
        <v>60</v>
      </c>
      <c r="M18" s="322" t="s">
        <v>108</v>
      </c>
      <c r="N18" s="322" t="s">
        <v>108</v>
      </c>
      <c r="O18" s="322" t="s">
        <v>108</v>
      </c>
      <c r="P18" s="322" t="s">
        <v>108</v>
      </c>
      <c r="Q18" s="322" t="s">
        <v>108</v>
      </c>
      <c r="R18" s="12" t="s">
        <v>117</v>
      </c>
      <c r="S18" s="12" t="s">
        <v>117</v>
      </c>
      <c r="T18" s="385">
        <v>60</v>
      </c>
      <c r="U18" s="322" t="s">
        <v>108</v>
      </c>
      <c r="V18" s="322" t="s">
        <v>108</v>
      </c>
      <c r="W18" s="322" t="s">
        <v>108</v>
      </c>
      <c r="X18" s="322" t="s">
        <v>108</v>
      </c>
      <c r="Y18" s="322" t="s">
        <v>108</v>
      </c>
      <c r="Z18" s="12" t="s">
        <v>117</v>
      </c>
      <c r="AA18" s="12" t="s">
        <v>117</v>
      </c>
      <c r="AB18" s="385">
        <v>60</v>
      </c>
      <c r="AC18" s="322" t="s">
        <v>108</v>
      </c>
      <c r="AD18" s="322" t="s">
        <v>108</v>
      </c>
      <c r="AE18" s="322" t="s">
        <v>108</v>
      </c>
      <c r="AF18" s="322" t="s">
        <v>108</v>
      </c>
      <c r="AG18" s="322" t="s">
        <v>108</v>
      </c>
      <c r="AH18" s="12" t="s">
        <v>117</v>
      </c>
      <c r="AI18" s="12" t="s">
        <v>117</v>
      </c>
      <c r="AJ18" s="385">
        <f>12*5+5.5</f>
        <v>65.5</v>
      </c>
    </row>
    <row r="20" spans="2:36" ht="15.75" customHeight="1">
      <c r="B20" s="378" t="s">
        <v>101</v>
      </c>
      <c r="C20" s="196" t="s">
        <v>309</v>
      </c>
      <c r="D20" s="378" t="s">
        <v>102</v>
      </c>
      <c r="E20" s="483" t="s">
        <v>103</v>
      </c>
      <c r="F20" s="483" t="s">
        <v>104</v>
      </c>
      <c r="G20" s="483" t="s">
        <v>104</v>
      </c>
      <c r="H20" s="483" t="s">
        <v>105</v>
      </c>
      <c r="I20" s="483" t="s">
        <v>106</v>
      </c>
      <c r="J20" s="483" t="s">
        <v>107</v>
      </c>
      <c r="K20" s="483" t="s">
        <v>108</v>
      </c>
      <c r="L20" s="820" t="s">
        <v>109</v>
      </c>
      <c r="M20" s="484" t="s">
        <v>103</v>
      </c>
      <c r="N20" s="484" t="s">
        <v>104</v>
      </c>
      <c r="O20" s="484" t="s">
        <v>104</v>
      </c>
      <c r="P20" s="484" t="s">
        <v>105</v>
      </c>
      <c r="Q20" s="484" t="s">
        <v>106</v>
      </c>
      <c r="R20" s="484" t="s">
        <v>107</v>
      </c>
      <c r="S20" s="484" t="s">
        <v>108</v>
      </c>
      <c r="T20" s="820" t="s">
        <v>109</v>
      </c>
      <c r="U20" s="485" t="s">
        <v>103</v>
      </c>
      <c r="V20" s="485" t="s">
        <v>104</v>
      </c>
      <c r="W20" s="485" t="s">
        <v>104</v>
      </c>
      <c r="X20" s="485" t="s">
        <v>105</v>
      </c>
      <c r="Y20" s="485" t="s">
        <v>106</v>
      </c>
      <c r="Z20" s="485" t="s">
        <v>107</v>
      </c>
      <c r="AA20" s="485" t="s">
        <v>108</v>
      </c>
      <c r="AB20" s="820" t="s">
        <v>109</v>
      </c>
      <c r="AC20" s="486" t="s">
        <v>103</v>
      </c>
      <c r="AD20" s="486" t="s">
        <v>104</v>
      </c>
      <c r="AE20" s="486" t="s">
        <v>104</v>
      </c>
      <c r="AF20" s="487" t="s">
        <v>105</v>
      </c>
      <c r="AG20" s="487" t="s">
        <v>106</v>
      </c>
      <c r="AH20" s="487" t="s">
        <v>107</v>
      </c>
      <c r="AI20" s="487" t="s">
        <v>108</v>
      </c>
      <c r="AJ20" s="834" t="s">
        <v>109</v>
      </c>
    </row>
    <row r="21" spans="2:36" ht="15.75" customHeight="1">
      <c r="B21" s="378" t="s">
        <v>112</v>
      </c>
      <c r="C21" s="196" t="s">
        <v>845</v>
      </c>
      <c r="D21" s="378" t="s">
        <v>113</v>
      </c>
      <c r="E21" s="816">
        <v>7</v>
      </c>
      <c r="F21" s="816">
        <v>8</v>
      </c>
      <c r="G21" s="816">
        <v>9</v>
      </c>
      <c r="H21" s="816">
        <v>10</v>
      </c>
      <c r="I21" s="816">
        <v>11</v>
      </c>
      <c r="J21" s="816">
        <v>12</v>
      </c>
      <c r="K21" s="816">
        <v>13</v>
      </c>
      <c r="L21" s="820"/>
      <c r="M21" s="816">
        <v>14</v>
      </c>
      <c r="N21" s="816">
        <v>15</v>
      </c>
      <c r="O21" s="816">
        <v>16</v>
      </c>
      <c r="P21" s="816">
        <v>17</v>
      </c>
      <c r="Q21" s="816">
        <v>18</v>
      </c>
      <c r="R21" s="816">
        <v>19</v>
      </c>
      <c r="S21" s="816">
        <v>20</v>
      </c>
      <c r="T21" s="820"/>
      <c r="U21" s="816">
        <v>21</v>
      </c>
      <c r="V21" s="816">
        <v>22</v>
      </c>
      <c r="W21" s="816">
        <v>23</v>
      </c>
      <c r="X21" s="816">
        <v>24</v>
      </c>
      <c r="Y21" s="816">
        <v>25</v>
      </c>
      <c r="Z21" s="816">
        <v>26</v>
      </c>
      <c r="AA21" s="816">
        <v>27</v>
      </c>
      <c r="AB21" s="820"/>
      <c r="AC21" s="816">
        <v>28</v>
      </c>
      <c r="AD21" s="816">
        <v>29</v>
      </c>
      <c r="AE21" s="816">
        <v>30</v>
      </c>
      <c r="AF21" s="816">
        <v>1</v>
      </c>
      <c r="AG21" s="816">
        <v>2</v>
      </c>
      <c r="AH21" s="816">
        <v>3</v>
      </c>
      <c r="AI21" s="816">
        <v>4</v>
      </c>
      <c r="AJ21" s="834"/>
    </row>
    <row r="22" spans="2:36">
      <c r="B22" s="379" t="s">
        <v>42</v>
      </c>
      <c r="C22" s="380" t="s">
        <v>114</v>
      </c>
      <c r="D22" s="380" t="s">
        <v>115</v>
      </c>
      <c r="E22" s="816"/>
      <c r="F22" s="816"/>
      <c r="G22" s="816"/>
      <c r="H22" s="816"/>
      <c r="I22" s="816"/>
      <c r="J22" s="816"/>
      <c r="K22" s="816"/>
      <c r="L22" s="820"/>
      <c r="M22" s="816"/>
      <c r="N22" s="816"/>
      <c r="O22" s="816"/>
      <c r="P22" s="816"/>
      <c r="Q22" s="816"/>
      <c r="R22" s="816"/>
      <c r="S22" s="816"/>
      <c r="T22" s="820"/>
      <c r="U22" s="816"/>
      <c r="V22" s="816"/>
      <c r="W22" s="816"/>
      <c r="X22" s="816"/>
      <c r="Y22" s="816"/>
      <c r="Z22" s="816"/>
      <c r="AA22" s="816"/>
      <c r="AB22" s="820"/>
      <c r="AC22" s="816"/>
      <c r="AD22" s="816"/>
      <c r="AE22" s="816"/>
      <c r="AF22" s="816"/>
      <c r="AG22" s="816"/>
      <c r="AH22" s="816"/>
      <c r="AI22" s="816"/>
      <c r="AJ22" s="834"/>
    </row>
    <row r="23" spans="2:36">
      <c r="B23" s="381">
        <v>1</v>
      </c>
      <c r="C23" s="358" t="s">
        <v>312</v>
      </c>
      <c r="D23" s="358" t="s">
        <v>313</v>
      </c>
      <c r="E23" s="317" t="s">
        <v>116</v>
      </c>
      <c r="F23" s="317" t="s">
        <v>116</v>
      </c>
      <c r="G23" s="136" t="s">
        <v>117</v>
      </c>
      <c r="H23" s="136" t="s">
        <v>117</v>
      </c>
      <c r="I23" s="317" t="s">
        <v>108</v>
      </c>
      <c r="J23" s="317" t="s">
        <v>108</v>
      </c>
      <c r="K23" s="317" t="s">
        <v>108</v>
      </c>
      <c r="L23" s="386">
        <v>60</v>
      </c>
      <c r="M23" s="317" t="s">
        <v>116</v>
      </c>
      <c r="N23" s="317" t="s">
        <v>116</v>
      </c>
      <c r="O23" s="136" t="s">
        <v>117</v>
      </c>
      <c r="P23" s="136" t="s">
        <v>117</v>
      </c>
      <c r="Q23" s="317" t="s">
        <v>108</v>
      </c>
      <c r="R23" s="317" t="s">
        <v>108</v>
      </c>
      <c r="S23" s="317" t="s">
        <v>108</v>
      </c>
      <c r="T23" s="386">
        <v>60</v>
      </c>
      <c r="U23" s="317" t="s">
        <v>116</v>
      </c>
      <c r="V23" s="317" t="s">
        <v>116</v>
      </c>
      <c r="W23" s="136" t="s">
        <v>117</v>
      </c>
      <c r="X23" s="136" t="s">
        <v>117</v>
      </c>
      <c r="Y23" s="317" t="s">
        <v>108</v>
      </c>
      <c r="Z23" s="317" t="s">
        <v>108</v>
      </c>
      <c r="AA23" s="317" t="s">
        <v>108</v>
      </c>
      <c r="AB23" s="386">
        <v>60</v>
      </c>
      <c r="AC23" s="317" t="s">
        <v>116</v>
      </c>
      <c r="AD23" s="317" t="s">
        <v>116</v>
      </c>
      <c r="AE23" s="136" t="s">
        <v>117</v>
      </c>
      <c r="AF23" s="136" t="s">
        <v>117</v>
      </c>
      <c r="AG23" s="317" t="s">
        <v>108</v>
      </c>
      <c r="AH23" s="317" t="s">
        <v>108</v>
      </c>
      <c r="AI23" s="317" t="s">
        <v>108</v>
      </c>
      <c r="AJ23" s="386">
        <v>60</v>
      </c>
    </row>
    <row r="24" spans="2:36">
      <c r="B24" s="381">
        <v>2</v>
      </c>
      <c r="C24" s="358" t="s">
        <v>310</v>
      </c>
      <c r="D24" s="441" t="s">
        <v>311</v>
      </c>
      <c r="E24" s="317" t="s">
        <v>108</v>
      </c>
      <c r="F24" s="317" t="s">
        <v>108</v>
      </c>
      <c r="G24" s="317" t="s">
        <v>116</v>
      </c>
      <c r="H24" s="317" t="s">
        <v>116</v>
      </c>
      <c r="I24" s="317" t="s">
        <v>116</v>
      </c>
      <c r="J24" s="136" t="s">
        <v>117</v>
      </c>
      <c r="K24" s="136" t="s">
        <v>117</v>
      </c>
      <c r="L24" s="386">
        <v>60</v>
      </c>
      <c r="M24" s="317" t="s">
        <v>108</v>
      </c>
      <c r="N24" s="317" t="s">
        <v>108</v>
      </c>
      <c r="O24" s="317" t="s">
        <v>116</v>
      </c>
      <c r="P24" s="317" t="s">
        <v>116</v>
      </c>
      <c r="Q24" s="317" t="s">
        <v>116</v>
      </c>
      <c r="R24" s="136" t="s">
        <v>117</v>
      </c>
      <c r="S24" s="136" t="s">
        <v>117</v>
      </c>
      <c r="T24" s="386">
        <v>60</v>
      </c>
      <c r="U24" s="317" t="s">
        <v>108</v>
      </c>
      <c r="V24" s="317" t="s">
        <v>108</v>
      </c>
      <c r="W24" s="317" t="s">
        <v>116</v>
      </c>
      <c r="X24" s="317" t="s">
        <v>116</v>
      </c>
      <c r="Y24" s="317" t="s">
        <v>116</v>
      </c>
      <c r="Z24" s="136" t="s">
        <v>117</v>
      </c>
      <c r="AA24" s="136" t="s">
        <v>117</v>
      </c>
      <c r="AB24" s="386">
        <v>60</v>
      </c>
      <c r="AC24" s="317" t="s">
        <v>108</v>
      </c>
      <c r="AD24" s="317" t="s">
        <v>108</v>
      </c>
      <c r="AE24" s="317" t="s">
        <v>116</v>
      </c>
      <c r="AF24" s="317" t="s">
        <v>116</v>
      </c>
      <c r="AG24" s="317" t="s">
        <v>116</v>
      </c>
      <c r="AH24" s="136" t="s">
        <v>117</v>
      </c>
      <c r="AI24" s="136" t="s">
        <v>117</v>
      </c>
      <c r="AJ24" s="386">
        <v>60</v>
      </c>
    </row>
    <row r="25" spans="2:36">
      <c r="B25" s="381">
        <v>3</v>
      </c>
      <c r="C25" s="358" t="s">
        <v>807</v>
      </c>
      <c r="D25" s="441" t="s">
        <v>787</v>
      </c>
      <c r="E25" s="136" t="s">
        <v>117</v>
      </c>
      <c r="F25" s="136" t="s">
        <v>117</v>
      </c>
      <c r="G25" s="317" t="s">
        <v>108</v>
      </c>
      <c r="H25" s="317" t="s">
        <v>108</v>
      </c>
      <c r="I25" s="136" t="s">
        <v>117</v>
      </c>
      <c r="J25" s="317" t="s">
        <v>116</v>
      </c>
      <c r="K25" s="317" t="s">
        <v>116</v>
      </c>
      <c r="L25" s="386">
        <v>48</v>
      </c>
      <c r="M25" s="136" t="s">
        <v>117</v>
      </c>
      <c r="N25" s="136" t="s">
        <v>117</v>
      </c>
      <c r="O25" s="317" t="s">
        <v>108</v>
      </c>
      <c r="P25" s="317" t="s">
        <v>108</v>
      </c>
      <c r="Q25" s="136" t="s">
        <v>117</v>
      </c>
      <c r="R25" s="317" t="s">
        <v>116</v>
      </c>
      <c r="S25" s="317" t="s">
        <v>116</v>
      </c>
      <c r="T25" s="386">
        <v>48</v>
      </c>
      <c r="U25" s="136" t="s">
        <v>117</v>
      </c>
      <c r="V25" s="136" t="s">
        <v>117</v>
      </c>
      <c r="W25" s="317" t="s">
        <v>108</v>
      </c>
      <c r="X25" s="317" t="s">
        <v>108</v>
      </c>
      <c r="Y25" s="136" t="s">
        <v>117</v>
      </c>
      <c r="Z25" s="317" t="s">
        <v>116</v>
      </c>
      <c r="AA25" s="317" t="s">
        <v>116</v>
      </c>
      <c r="AB25" s="386">
        <v>48</v>
      </c>
      <c r="AC25" s="136" t="s">
        <v>117</v>
      </c>
      <c r="AD25" s="136" t="s">
        <v>117</v>
      </c>
      <c r="AE25" s="317" t="s">
        <v>108</v>
      </c>
      <c r="AF25" s="317" t="s">
        <v>108</v>
      </c>
      <c r="AG25" s="136" t="s">
        <v>117</v>
      </c>
      <c r="AH25" s="317" t="s">
        <v>116</v>
      </c>
      <c r="AI25" s="317" t="s">
        <v>116</v>
      </c>
      <c r="AJ25" s="386">
        <v>48</v>
      </c>
    </row>
    <row r="26" spans="2:36">
      <c r="B26" s="134"/>
      <c r="C26" s="135"/>
      <c r="D26" s="135"/>
      <c r="E26" s="135"/>
      <c r="F26" s="135"/>
      <c r="G26" s="135"/>
      <c r="H26" s="135"/>
      <c r="I26" s="135"/>
      <c r="J26" s="135"/>
      <c r="K26" s="135"/>
      <c r="L26" s="135"/>
      <c r="M26" s="135"/>
      <c r="N26" s="135"/>
      <c r="O26" s="135"/>
      <c r="P26" s="135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5"/>
      <c r="AH26" s="135"/>
      <c r="AI26" s="135"/>
    </row>
    <row r="27" spans="2:36" ht="15.75" customHeight="1">
      <c r="B27" s="378" t="s">
        <v>101</v>
      </c>
      <c r="C27" s="196" t="s">
        <v>314</v>
      </c>
      <c r="D27" s="378" t="s">
        <v>102</v>
      </c>
      <c r="E27" s="483" t="s">
        <v>103</v>
      </c>
      <c r="F27" s="483" t="s">
        <v>104</v>
      </c>
      <c r="G27" s="483" t="s">
        <v>104</v>
      </c>
      <c r="H27" s="483" t="s">
        <v>105</v>
      </c>
      <c r="I27" s="483" t="s">
        <v>106</v>
      </c>
      <c r="J27" s="483" t="s">
        <v>107</v>
      </c>
      <c r="K27" s="483" t="s">
        <v>108</v>
      </c>
      <c r="L27" s="820" t="s">
        <v>109</v>
      </c>
      <c r="M27" s="484" t="s">
        <v>103</v>
      </c>
      <c r="N27" s="484" t="s">
        <v>104</v>
      </c>
      <c r="O27" s="484" t="s">
        <v>104</v>
      </c>
      <c r="P27" s="484" t="s">
        <v>105</v>
      </c>
      <c r="Q27" s="484" t="s">
        <v>106</v>
      </c>
      <c r="R27" s="484" t="s">
        <v>107</v>
      </c>
      <c r="S27" s="484" t="s">
        <v>108</v>
      </c>
      <c r="T27" s="820" t="s">
        <v>109</v>
      </c>
      <c r="U27" s="485" t="s">
        <v>103</v>
      </c>
      <c r="V27" s="485" t="s">
        <v>104</v>
      </c>
      <c r="W27" s="485" t="s">
        <v>104</v>
      </c>
      <c r="X27" s="485" t="s">
        <v>105</v>
      </c>
      <c r="Y27" s="485" t="s">
        <v>106</v>
      </c>
      <c r="Z27" s="485" t="s">
        <v>107</v>
      </c>
      <c r="AA27" s="485" t="s">
        <v>108</v>
      </c>
      <c r="AB27" s="820" t="s">
        <v>109</v>
      </c>
      <c r="AC27" s="486" t="s">
        <v>103</v>
      </c>
      <c r="AD27" s="486" t="s">
        <v>104</v>
      </c>
      <c r="AE27" s="486" t="s">
        <v>104</v>
      </c>
      <c r="AF27" s="487" t="s">
        <v>105</v>
      </c>
      <c r="AG27" s="487" t="s">
        <v>106</v>
      </c>
      <c r="AH27" s="487" t="s">
        <v>107</v>
      </c>
      <c r="AI27" s="487" t="s">
        <v>108</v>
      </c>
      <c r="AJ27" s="834" t="s">
        <v>109</v>
      </c>
    </row>
    <row r="28" spans="2:36" ht="15.75" customHeight="1">
      <c r="B28" s="378" t="s">
        <v>112</v>
      </c>
      <c r="C28" s="196" t="s">
        <v>845</v>
      </c>
      <c r="D28" s="378" t="s">
        <v>113</v>
      </c>
      <c r="E28" s="816">
        <v>7</v>
      </c>
      <c r="F28" s="816">
        <v>8</v>
      </c>
      <c r="G28" s="816">
        <v>9</v>
      </c>
      <c r="H28" s="816">
        <v>10</v>
      </c>
      <c r="I28" s="816">
        <v>11</v>
      </c>
      <c r="J28" s="816">
        <v>12</v>
      </c>
      <c r="K28" s="816">
        <v>13</v>
      </c>
      <c r="L28" s="820"/>
      <c r="M28" s="816">
        <v>14</v>
      </c>
      <c r="N28" s="816">
        <v>15</v>
      </c>
      <c r="O28" s="816">
        <v>16</v>
      </c>
      <c r="P28" s="816">
        <v>17</v>
      </c>
      <c r="Q28" s="816">
        <v>18</v>
      </c>
      <c r="R28" s="816">
        <v>19</v>
      </c>
      <c r="S28" s="816">
        <v>20</v>
      </c>
      <c r="T28" s="820"/>
      <c r="U28" s="816">
        <v>21</v>
      </c>
      <c r="V28" s="816">
        <v>22</v>
      </c>
      <c r="W28" s="816">
        <v>23</v>
      </c>
      <c r="X28" s="816">
        <v>24</v>
      </c>
      <c r="Y28" s="816">
        <v>25</v>
      </c>
      <c r="Z28" s="816">
        <v>26</v>
      </c>
      <c r="AA28" s="816">
        <v>27</v>
      </c>
      <c r="AB28" s="820"/>
      <c r="AC28" s="816">
        <v>28</v>
      </c>
      <c r="AD28" s="816">
        <v>29</v>
      </c>
      <c r="AE28" s="816">
        <v>30</v>
      </c>
      <c r="AF28" s="816">
        <v>1</v>
      </c>
      <c r="AG28" s="816">
        <v>2</v>
      </c>
      <c r="AH28" s="816">
        <v>3</v>
      </c>
      <c r="AI28" s="816">
        <v>4</v>
      </c>
      <c r="AJ28" s="834"/>
    </row>
    <row r="29" spans="2:36">
      <c r="B29" s="379" t="s">
        <v>42</v>
      </c>
      <c r="C29" s="380" t="s">
        <v>114</v>
      </c>
      <c r="D29" s="380" t="s">
        <v>115</v>
      </c>
      <c r="E29" s="816"/>
      <c r="F29" s="816"/>
      <c r="G29" s="816"/>
      <c r="H29" s="816"/>
      <c r="I29" s="816"/>
      <c r="J29" s="816"/>
      <c r="K29" s="816"/>
      <c r="L29" s="820"/>
      <c r="M29" s="816"/>
      <c r="N29" s="816"/>
      <c r="O29" s="816"/>
      <c r="P29" s="816"/>
      <c r="Q29" s="816"/>
      <c r="R29" s="816"/>
      <c r="S29" s="816"/>
      <c r="T29" s="820"/>
      <c r="U29" s="816"/>
      <c r="V29" s="816"/>
      <c r="W29" s="816"/>
      <c r="X29" s="816"/>
      <c r="Y29" s="816"/>
      <c r="Z29" s="816"/>
      <c r="AA29" s="816"/>
      <c r="AB29" s="820"/>
      <c r="AC29" s="816"/>
      <c r="AD29" s="816"/>
      <c r="AE29" s="816"/>
      <c r="AF29" s="816"/>
      <c r="AG29" s="816"/>
      <c r="AH29" s="816"/>
      <c r="AI29" s="816"/>
      <c r="AJ29" s="834"/>
    </row>
    <row r="30" spans="2:36" ht="15" customHeight="1">
      <c r="B30" s="381">
        <v>1</v>
      </c>
      <c r="C30" s="440" t="s">
        <v>812</v>
      </c>
      <c r="D30" s="441" t="s">
        <v>813</v>
      </c>
      <c r="E30" s="136" t="s">
        <v>117</v>
      </c>
      <c r="F30" s="317" t="s">
        <v>108</v>
      </c>
      <c r="G30" s="317" t="s">
        <v>108</v>
      </c>
      <c r="H30" s="317" t="s">
        <v>116</v>
      </c>
      <c r="I30" s="317" t="s">
        <v>116</v>
      </c>
      <c r="J30" s="317" t="s">
        <v>116</v>
      </c>
      <c r="K30" s="136" t="s">
        <v>117</v>
      </c>
      <c r="L30" s="387">
        <v>60</v>
      </c>
      <c r="M30" s="136" t="s">
        <v>117</v>
      </c>
      <c r="N30" s="317" t="s">
        <v>108</v>
      </c>
      <c r="O30" s="317" t="s">
        <v>108</v>
      </c>
      <c r="P30" s="317" t="s">
        <v>116</v>
      </c>
      <c r="Q30" s="317" t="s">
        <v>116</v>
      </c>
      <c r="R30" s="317" t="s">
        <v>116</v>
      </c>
      <c r="S30" s="136" t="s">
        <v>117</v>
      </c>
      <c r="T30" s="387">
        <v>60</v>
      </c>
      <c r="U30" s="136" t="s">
        <v>117</v>
      </c>
      <c r="V30" s="317" t="s">
        <v>108</v>
      </c>
      <c r="W30" s="317" t="s">
        <v>108</v>
      </c>
      <c r="X30" s="317" t="s">
        <v>116</v>
      </c>
      <c r="Y30" s="317" t="s">
        <v>116</v>
      </c>
      <c r="Z30" s="317" t="s">
        <v>116</v>
      </c>
      <c r="AA30" s="136" t="s">
        <v>117</v>
      </c>
      <c r="AB30" s="387">
        <v>60</v>
      </c>
      <c r="AC30" s="136" t="s">
        <v>117</v>
      </c>
      <c r="AD30" s="317" t="s">
        <v>108</v>
      </c>
      <c r="AE30" s="317" t="s">
        <v>108</v>
      </c>
      <c r="AF30" s="317" t="s">
        <v>116</v>
      </c>
      <c r="AG30" s="317" t="s">
        <v>116</v>
      </c>
      <c r="AH30" s="317" t="s">
        <v>116</v>
      </c>
      <c r="AI30" s="136" t="s">
        <v>117</v>
      </c>
      <c r="AJ30" s="387">
        <v>60</v>
      </c>
    </row>
    <row r="31" spans="2:36">
      <c r="B31" s="381">
        <v>2</v>
      </c>
      <c r="C31" s="516" t="s">
        <v>624</v>
      </c>
      <c r="D31" s="516" t="s">
        <v>786</v>
      </c>
      <c r="E31" s="317" t="s">
        <v>108</v>
      </c>
      <c r="F31" s="317" t="s">
        <v>116</v>
      </c>
      <c r="G31" s="317" t="s">
        <v>116</v>
      </c>
      <c r="H31" s="136" t="s">
        <v>117</v>
      </c>
      <c r="I31" s="136" t="s">
        <v>117</v>
      </c>
      <c r="J31" s="317" t="s">
        <v>108</v>
      </c>
      <c r="K31" s="317" t="s">
        <v>108</v>
      </c>
      <c r="L31" s="387">
        <v>60</v>
      </c>
      <c r="M31" s="317" t="s">
        <v>108</v>
      </c>
      <c r="N31" s="317" t="s">
        <v>116</v>
      </c>
      <c r="O31" s="317" t="s">
        <v>116</v>
      </c>
      <c r="P31" s="136" t="s">
        <v>117</v>
      </c>
      <c r="Q31" s="136" t="s">
        <v>117</v>
      </c>
      <c r="R31" s="317" t="s">
        <v>108</v>
      </c>
      <c r="S31" s="317" t="s">
        <v>108</v>
      </c>
      <c r="T31" s="387">
        <v>60</v>
      </c>
      <c r="U31" s="317" t="s">
        <v>108</v>
      </c>
      <c r="V31" s="317" t="s">
        <v>116</v>
      </c>
      <c r="W31" s="317" t="s">
        <v>116</v>
      </c>
      <c r="X31" s="136" t="s">
        <v>117</v>
      </c>
      <c r="Y31" s="136" t="s">
        <v>117</v>
      </c>
      <c r="Z31" s="317" t="s">
        <v>108</v>
      </c>
      <c r="AA31" s="317" t="s">
        <v>108</v>
      </c>
      <c r="AB31" s="387">
        <v>60</v>
      </c>
      <c r="AC31" s="317" t="s">
        <v>108</v>
      </c>
      <c r="AD31" s="317" t="s">
        <v>116</v>
      </c>
      <c r="AE31" s="317" t="s">
        <v>116</v>
      </c>
      <c r="AF31" s="136" t="s">
        <v>117</v>
      </c>
      <c r="AG31" s="136" t="s">
        <v>117</v>
      </c>
      <c r="AH31" s="317" t="s">
        <v>108</v>
      </c>
      <c r="AI31" s="317" t="s">
        <v>108</v>
      </c>
      <c r="AJ31" s="387">
        <v>60</v>
      </c>
    </row>
    <row r="32" spans="2:36">
      <c r="B32" s="381">
        <v>3</v>
      </c>
      <c r="C32" s="440" t="s">
        <v>816</v>
      </c>
      <c r="D32" s="440" t="s">
        <v>814</v>
      </c>
      <c r="E32" s="317" t="s">
        <v>116</v>
      </c>
      <c r="F32" s="136" t="s">
        <v>117</v>
      </c>
      <c r="G32" s="136" t="s">
        <v>117</v>
      </c>
      <c r="H32" s="317" t="s">
        <v>108</v>
      </c>
      <c r="I32" s="317" t="s">
        <v>108</v>
      </c>
      <c r="J32" s="317" t="s">
        <v>108</v>
      </c>
      <c r="K32" s="317" t="s">
        <v>116</v>
      </c>
      <c r="L32" s="387">
        <v>58</v>
      </c>
      <c r="M32" s="317" t="s">
        <v>116</v>
      </c>
      <c r="N32" s="136" t="s">
        <v>117</v>
      </c>
      <c r="O32" s="136" t="s">
        <v>117</v>
      </c>
      <c r="P32" s="317" t="s">
        <v>108</v>
      </c>
      <c r="Q32" s="317" t="s">
        <v>108</v>
      </c>
      <c r="R32" s="317" t="s">
        <v>108</v>
      </c>
      <c r="S32" s="317" t="s">
        <v>116</v>
      </c>
      <c r="T32" s="387">
        <v>58</v>
      </c>
      <c r="U32" s="317" t="s">
        <v>116</v>
      </c>
      <c r="V32" s="136" t="s">
        <v>117</v>
      </c>
      <c r="W32" s="136" t="s">
        <v>117</v>
      </c>
      <c r="X32" s="317" t="s">
        <v>108</v>
      </c>
      <c r="Y32" s="317" t="s">
        <v>108</v>
      </c>
      <c r="Z32" s="317" t="s">
        <v>108</v>
      </c>
      <c r="AA32" s="317" t="s">
        <v>116</v>
      </c>
      <c r="AB32" s="387">
        <v>58</v>
      </c>
      <c r="AC32" s="317" t="s">
        <v>116</v>
      </c>
      <c r="AD32" s="136" t="s">
        <v>117</v>
      </c>
      <c r="AE32" s="136" t="s">
        <v>117</v>
      </c>
      <c r="AF32" s="317" t="s">
        <v>108</v>
      </c>
      <c r="AG32" s="317" t="s">
        <v>108</v>
      </c>
      <c r="AH32" s="317" t="s">
        <v>108</v>
      </c>
      <c r="AI32" s="317" t="s">
        <v>116</v>
      </c>
      <c r="AJ32" s="387">
        <v>58</v>
      </c>
    </row>
    <row r="34" spans="2:36" ht="15.75" customHeight="1">
      <c r="B34" s="378" t="s">
        <v>101</v>
      </c>
      <c r="C34" s="196" t="s">
        <v>590</v>
      </c>
      <c r="D34" s="378" t="s">
        <v>102</v>
      </c>
      <c r="E34" s="483" t="s">
        <v>103</v>
      </c>
      <c r="F34" s="483" t="s">
        <v>104</v>
      </c>
      <c r="G34" s="483" t="s">
        <v>104</v>
      </c>
      <c r="H34" s="483" t="s">
        <v>105</v>
      </c>
      <c r="I34" s="483" t="s">
        <v>106</v>
      </c>
      <c r="J34" s="483" t="s">
        <v>107</v>
      </c>
      <c r="K34" s="483" t="s">
        <v>108</v>
      </c>
      <c r="L34" s="820" t="s">
        <v>109</v>
      </c>
      <c r="M34" s="484" t="s">
        <v>103</v>
      </c>
      <c r="N34" s="484" t="s">
        <v>104</v>
      </c>
      <c r="O34" s="484" t="s">
        <v>104</v>
      </c>
      <c r="P34" s="484" t="s">
        <v>105</v>
      </c>
      <c r="Q34" s="484" t="s">
        <v>106</v>
      </c>
      <c r="R34" s="484" t="s">
        <v>107</v>
      </c>
      <c r="S34" s="484" t="s">
        <v>108</v>
      </c>
      <c r="T34" s="820" t="s">
        <v>109</v>
      </c>
      <c r="U34" s="485" t="s">
        <v>103</v>
      </c>
      <c r="V34" s="485" t="s">
        <v>104</v>
      </c>
      <c r="W34" s="485" t="s">
        <v>104</v>
      </c>
      <c r="X34" s="485" t="s">
        <v>105</v>
      </c>
      <c r="Y34" s="485" t="s">
        <v>106</v>
      </c>
      <c r="Z34" s="485" t="s">
        <v>107</v>
      </c>
      <c r="AA34" s="485" t="s">
        <v>108</v>
      </c>
      <c r="AB34" s="820" t="s">
        <v>109</v>
      </c>
      <c r="AC34" s="486" t="s">
        <v>103</v>
      </c>
      <c r="AD34" s="486" t="s">
        <v>104</v>
      </c>
      <c r="AE34" s="486" t="s">
        <v>104</v>
      </c>
      <c r="AF34" s="487" t="s">
        <v>105</v>
      </c>
      <c r="AG34" s="487" t="s">
        <v>106</v>
      </c>
      <c r="AH34" s="487" t="s">
        <v>107</v>
      </c>
      <c r="AI34" s="487" t="s">
        <v>108</v>
      </c>
      <c r="AJ34" s="834" t="s">
        <v>109</v>
      </c>
    </row>
    <row r="35" spans="2:36">
      <c r="B35" s="378" t="s">
        <v>112</v>
      </c>
      <c r="C35" s="196" t="s">
        <v>845</v>
      </c>
      <c r="D35" s="378" t="s">
        <v>113</v>
      </c>
      <c r="E35" s="816">
        <v>7</v>
      </c>
      <c r="F35" s="816">
        <v>8</v>
      </c>
      <c r="G35" s="816">
        <v>9</v>
      </c>
      <c r="H35" s="816">
        <v>10</v>
      </c>
      <c r="I35" s="816">
        <v>11</v>
      </c>
      <c r="J35" s="816">
        <v>12</v>
      </c>
      <c r="K35" s="816">
        <v>13</v>
      </c>
      <c r="L35" s="820"/>
      <c r="M35" s="816">
        <v>14</v>
      </c>
      <c r="N35" s="816">
        <v>15</v>
      </c>
      <c r="O35" s="816">
        <v>16</v>
      </c>
      <c r="P35" s="816">
        <v>17</v>
      </c>
      <c r="Q35" s="816">
        <v>18</v>
      </c>
      <c r="R35" s="816">
        <v>19</v>
      </c>
      <c r="S35" s="816">
        <v>20</v>
      </c>
      <c r="T35" s="820"/>
      <c r="U35" s="816">
        <v>21</v>
      </c>
      <c r="V35" s="816">
        <v>22</v>
      </c>
      <c r="W35" s="816">
        <v>23</v>
      </c>
      <c r="X35" s="816">
        <v>24</v>
      </c>
      <c r="Y35" s="816">
        <v>25</v>
      </c>
      <c r="Z35" s="816">
        <v>26</v>
      </c>
      <c r="AA35" s="816">
        <v>27</v>
      </c>
      <c r="AB35" s="820"/>
      <c r="AC35" s="816">
        <v>28</v>
      </c>
      <c r="AD35" s="816">
        <v>29</v>
      </c>
      <c r="AE35" s="816">
        <v>30</v>
      </c>
      <c r="AF35" s="816">
        <v>1</v>
      </c>
      <c r="AG35" s="816">
        <v>2</v>
      </c>
      <c r="AH35" s="816">
        <v>3</v>
      </c>
      <c r="AI35" s="816">
        <v>4</v>
      </c>
      <c r="AJ35" s="834"/>
    </row>
    <row r="36" spans="2:36">
      <c r="B36" s="379" t="s">
        <v>42</v>
      </c>
      <c r="C36" s="380" t="s">
        <v>114</v>
      </c>
      <c r="D36" s="380" t="s">
        <v>115</v>
      </c>
      <c r="E36" s="816"/>
      <c r="F36" s="816"/>
      <c r="G36" s="816"/>
      <c r="H36" s="816"/>
      <c r="I36" s="816"/>
      <c r="J36" s="816"/>
      <c r="K36" s="816"/>
      <c r="L36" s="820"/>
      <c r="M36" s="816"/>
      <c r="N36" s="816"/>
      <c r="O36" s="816"/>
      <c r="P36" s="816"/>
      <c r="Q36" s="816"/>
      <c r="R36" s="816"/>
      <c r="S36" s="816"/>
      <c r="T36" s="820"/>
      <c r="U36" s="816"/>
      <c r="V36" s="816"/>
      <c r="W36" s="816"/>
      <c r="X36" s="816"/>
      <c r="Y36" s="816"/>
      <c r="Z36" s="816"/>
      <c r="AA36" s="816"/>
      <c r="AB36" s="820"/>
      <c r="AC36" s="816"/>
      <c r="AD36" s="816"/>
      <c r="AE36" s="816"/>
      <c r="AF36" s="816"/>
      <c r="AG36" s="816"/>
      <c r="AH36" s="816"/>
      <c r="AI36" s="816"/>
      <c r="AJ36" s="834"/>
    </row>
    <row r="37" spans="2:36" ht="16.5">
      <c r="B37" s="439" t="s">
        <v>785</v>
      </c>
      <c r="C37" s="382" t="s">
        <v>591</v>
      </c>
      <c r="D37" s="382" t="s">
        <v>592</v>
      </c>
      <c r="E37" s="322" t="s">
        <v>108</v>
      </c>
      <c r="F37" s="322" t="s">
        <v>108</v>
      </c>
      <c r="G37" s="322" t="s">
        <v>108</v>
      </c>
      <c r="H37" s="322" t="s">
        <v>108</v>
      </c>
      <c r="I37" s="322" t="s">
        <v>108</v>
      </c>
      <c r="J37" s="12" t="s">
        <v>117</v>
      </c>
      <c r="K37" s="12" t="s">
        <v>117</v>
      </c>
      <c r="L37" s="385">
        <v>60</v>
      </c>
      <c r="M37" s="322" t="s">
        <v>108</v>
      </c>
      <c r="N37" s="322" t="s">
        <v>108</v>
      </c>
      <c r="O37" s="322" t="s">
        <v>108</v>
      </c>
      <c r="P37" s="322" t="s">
        <v>108</v>
      </c>
      <c r="Q37" s="322" t="s">
        <v>108</v>
      </c>
      <c r="R37" s="12" t="s">
        <v>117</v>
      </c>
      <c r="S37" s="12" t="s">
        <v>117</v>
      </c>
      <c r="T37" s="385">
        <v>60</v>
      </c>
      <c r="U37" s="322" t="s">
        <v>108</v>
      </c>
      <c r="V37" s="322" t="s">
        <v>108</v>
      </c>
      <c r="W37" s="322" t="s">
        <v>108</v>
      </c>
      <c r="X37" s="322" t="s">
        <v>108</v>
      </c>
      <c r="Y37" s="322" t="s">
        <v>108</v>
      </c>
      <c r="Z37" s="12" t="s">
        <v>117</v>
      </c>
      <c r="AA37" s="12" t="s">
        <v>117</v>
      </c>
      <c r="AB37" s="385">
        <v>60</v>
      </c>
      <c r="AC37" s="322" t="s">
        <v>108</v>
      </c>
      <c r="AD37" s="322" t="s">
        <v>108</v>
      </c>
      <c r="AE37" s="322" t="s">
        <v>108</v>
      </c>
      <c r="AF37" s="322" t="s">
        <v>108</v>
      </c>
      <c r="AG37" s="322" t="s">
        <v>108</v>
      </c>
      <c r="AH37" s="12" t="s">
        <v>117</v>
      </c>
      <c r="AI37" s="12" t="s">
        <v>117</v>
      </c>
      <c r="AJ37" s="387">
        <v>60</v>
      </c>
    </row>
  </sheetData>
  <mergeCells count="167">
    <mergeCell ref="AF21:AF22"/>
    <mergeCell ref="AG21:AG22"/>
    <mergeCell ref="AH21:AH22"/>
    <mergeCell ref="AI21:AI22"/>
    <mergeCell ref="AC28:AC29"/>
    <mergeCell ref="AD28:AD29"/>
    <mergeCell ref="AE28:AE29"/>
    <mergeCell ref="AF28:AF29"/>
    <mergeCell ref="AG28:AG29"/>
    <mergeCell ref="AH28:AH29"/>
    <mergeCell ref="AH9:AH10"/>
    <mergeCell ref="AI9:AI10"/>
    <mergeCell ref="AC16:AC17"/>
    <mergeCell ref="AD16:AD17"/>
    <mergeCell ref="AE16:AE17"/>
    <mergeCell ref="AF16:AF17"/>
    <mergeCell ref="AG16:AG17"/>
    <mergeCell ref="AH16:AH17"/>
    <mergeCell ref="AI16:AI17"/>
    <mergeCell ref="Y35:Y36"/>
    <mergeCell ref="Z35:Z36"/>
    <mergeCell ref="AA35:AA36"/>
    <mergeCell ref="L34:L36"/>
    <mergeCell ref="T34:T36"/>
    <mergeCell ref="AJ34:AJ36"/>
    <mergeCell ref="M35:M36"/>
    <mergeCell ref="N35:N36"/>
    <mergeCell ref="O35:O36"/>
    <mergeCell ref="P35:P36"/>
    <mergeCell ref="Q35:Q36"/>
    <mergeCell ref="R35:R36"/>
    <mergeCell ref="S35:S36"/>
    <mergeCell ref="U35:U36"/>
    <mergeCell ref="V35:V36"/>
    <mergeCell ref="AC35:AC36"/>
    <mergeCell ref="AD35:AD36"/>
    <mergeCell ref="AE35:AE36"/>
    <mergeCell ref="AF35:AF36"/>
    <mergeCell ref="AG35:AG36"/>
    <mergeCell ref="AH35:AH36"/>
    <mergeCell ref="AI35:AI36"/>
    <mergeCell ref="AB34:AB36"/>
    <mergeCell ref="E35:E36"/>
    <mergeCell ref="F35:F36"/>
    <mergeCell ref="G35:G36"/>
    <mergeCell ref="H35:H36"/>
    <mergeCell ref="I35:I36"/>
    <mergeCell ref="J35:J36"/>
    <mergeCell ref="K35:K36"/>
    <mergeCell ref="W35:W36"/>
    <mergeCell ref="X35:X36"/>
    <mergeCell ref="AJ27:AJ29"/>
    <mergeCell ref="E28:E29"/>
    <mergeCell ref="F28:F29"/>
    <mergeCell ref="G28:G29"/>
    <mergeCell ref="H28:H29"/>
    <mergeCell ref="I28:I29"/>
    <mergeCell ref="J28:J29"/>
    <mergeCell ref="K28:K29"/>
    <mergeCell ref="M28:M29"/>
    <mergeCell ref="L27:L29"/>
    <mergeCell ref="T27:T29"/>
    <mergeCell ref="N28:N29"/>
    <mergeCell ref="O28:O29"/>
    <mergeCell ref="AI28:AI29"/>
    <mergeCell ref="AB27:AB29"/>
    <mergeCell ref="Z28:Z29"/>
    <mergeCell ref="AA28:AA29"/>
    <mergeCell ref="V21:V22"/>
    <mergeCell ref="W21:W22"/>
    <mergeCell ref="X21:X22"/>
    <mergeCell ref="Y21:Y22"/>
    <mergeCell ref="Z21:Z22"/>
    <mergeCell ref="P21:P22"/>
    <mergeCell ref="Q21:Q22"/>
    <mergeCell ref="R21:R22"/>
    <mergeCell ref="P28:P29"/>
    <mergeCell ref="Q28:Q29"/>
    <mergeCell ref="R28:R29"/>
    <mergeCell ref="S28:S29"/>
    <mergeCell ref="U28:U29"/>
    <mergeCell ref="V28:V29"/>
    <mergeCell ref="W28:W29"/>
    <mergeCell ref="X28:X29"/>
    <mergeCell ref="Y28:Y29"/>
    <mergeCell ref="AA16:AA17"/>
    <mergeCell ref="V16:V17"/>
    <mergeCell ref="AJ15:AJ17"/>
    <mergeCell ref="AJ20:AJ22"/>
    <mergeCell ref="E21:E22"/>
    <mergeCell ref="F21:F22"/>
    <mergeCell ref="G21:G22"/>
    <mergeCell ref="H21:H22"/>
    <mergeCell ref="I21:I22"/>
    <mergeCell ref="J21:J22"/>
    <mergeCell ref="K21:K22"/>
    <mergeCell ref="S21:S22"/>
    <mergeCell ref="U21:U22"/>
    <mergeCell ref="M21:M22"/>
    <mergeCell ref="N21:N22"/>
    <mergeCell ref="O21:O22"/>
    <mergeCell ref="L20:L22"/>
    <mergeCell ref="T20:T22"/>
    <mergeCell ref="AA21:AA22"/>
    <mergeCell ref="AB15:AB17"/>
    <mergeCell ref="AB20:AB22"/>
    <mergeCell ref="AC21:AC22"/>
    <mergeCell ref="AD21:AD22"/>
    <mergeCell ref="AE21:AE22"/>
    <mergeCell ref="I9:I10"/>
    <mergeCell ref="J9:J10"/>
    <mergeCell ref="K9:K10"/>
    <mergeCell ref="M9:M10"/>
    <mergeCell ref="AC9:AC10"/>
    <mergeCell ref="AD9:AD10"/>
    <mergeCell ref="AE9:AE10"/>
    <mergeCell ref="AF9:AF10"/>
    <mergeCell ref="AG9:AG10"/>
    <mergeCell ref="AB8:AB10"/>
    <mergeCell ref="B2:C4"/>
    <mergeCell ref="D2:D4"/>
    <mergeCell ref="E2:N2"/>
    <mergeCell ref="O2:AA4"/>
    <mergeCell ref="E3:N3"/>
    <mergeCell ref="E4:N4"/>
    <mergeCell ref="W16:W17"/>
    <mergeCell ref="X16:X17"/>
    <mergeCell ref="Y16:Y17"/>
    <mergeCell ref="Z16:Z17"/>
    <mergeCell ref="P16:P17"/>
    <mergeCell ref="Q16:Q17"/>
    <mergeCell ref="R16:R17"/>
    <mergeCell ref="S16:S17"/>
    <mergeCell ref="U16:U17"/>
    <mergeCell ref="M16:M17"/>
    <mergeCell ref="N16:N17"/>
    <mergeCell ref="O16:O17"/>
    <mergeCell ref="L15:L17"/>
    <mergeCell ref="T15:T17"/>
    <mergeCell ref="Y9:Y10"/>
    <mergeCell ref="Z9:Z10"/>
    <mergeCell ref="AA9:AA10"/>
    <mergeCell ref="E9:E10"/>
    <mergeCell ref="B5:AJ6"/>
    <mergeCell ref="H16:H17"/>
    <mergeCell ref="I16:I17"/>
    <mergeCell ref="F16:F17"/>
    <mergeCell ref="G16:G17"/>
    <mergeCell ref="J16:J17"/>
    <mergeCell ref="K16:K17"/>
    <mergeCell ref="E16:E17"/>
    <mergeCell ref="L8:L10"/>
    <mergeCell ref="T8:T10"/>
    <mergeCell ref="N9:N10"/>
    <mergeCell ref="O9:O10"/>
    <mergeCell ref="P9:P10"/>
    <mergeCell ref="Q9:Q10"/>
    <mergeCell ref="R9:R10"/>
    <mergeCell ref="S9:S10"/>
    <mergeCell ref="U9:U10"/>
    <mergeCell ref="V9:V10"/>
    <mergeCell ref="W9:W10"/>
    <mergeCell ref="X9:X10"/>
    <mergeCell ref="AJ8:AJ10"/>
    <mergeCell ref="F9:F10"/>
    <mergeCell ref="G9:G10"/>
    <mergeCell ref="H9:H10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78DAA-695F-4438-9C14-E8F1D6871484}">
  <sheetPr>
    <tabColor rgb="FFFFFF00"/>
  </sheetPr>
  <dimension ref="B1:AT24"/>
  <sheetViews>
    <sheetView zoomScale="80" zoomScaleNormal="80" workbookViewId="0">
      <selection activeCell="C10" sqref="C10:D10"/>
    </sheetView>
  </sheetViews>
  <sheetFormatPr baseColWidth="10" defaultColWidth="11.42578125" defaultRowHeight="15"/>
  <cols>
    <col min="1" max="1" width="3.7109375" style="132" customWidth="1"/>
    <col min="2" max="2" width="17.140625" style="132" bestFit="1" customWidth="1"/>
    <col min="3" max="3" width="18.85546875" style="132" bestFit="1" customWidth="1"/>
    <col min="4" max="4" width="19.28515625" style="132" bestFit="1" customWidth="1"/>
    <col min="5" max="11" width="3.7109375" style="132" customWidth="1"/>
    <col min="12" max="12" width="3.7109375" style="353" customWidth="1"/>
    <col min="13" max="19" width="3.7109375" style="132" customWidth="1"/>
    <col min="20" max="20" width="3.7109375" style="353" customWidth="1"/>
    <col min="21" max="27" width="3.7109375" style="132" customWidth="1"/>
    <col min="28" max="28" width="3.7109375" style="353" customWidth="1"/>
    <col min="29" max="35" width="3.7109375" style="132" customWidth="1"/>
    <col min="36" max="36" width="3.7109375" style="353" customWidth="1"/>
    <col min="37" max="43" width="3.7109375" style="132" customWidth="1"/>
    <col min="44" max="44" width="4.7109375" style="353" customWidth="1"/>
    <col min="45" max="46" width="3.7109375" style="353" customWidth="1"/>
    <col min="47" max="47" width="3.7109375" style="132" customWidth="1"/>
    <col min="48" max="48" width="5.7109375" style="132" customWidth="1"/>
    <col min="49" max="55" width="3.7109375" style="132" customWidth="1"/>
    <col min="56" max="56" width="5.7109375" style="132" customWidth="1"/>
    <col min="57" max="16384" width="11.42578125" style="132"/>
  </cols>
  <sheetData>
    <row r="1" spans="2:46" ht="15.75" thickBot="1"/>
    <row r="2" spans="2:46" ht="15.75" thickBot="1">
      <c r="B2" s="864" t="e" vm="8">
        <v>#VALUE!</v>
      </c>
      <c r="C2" s="865"/>
      <c r="D2" s="870" t="s">
        <v>843</v>
      </c>
      <c r="E2" s="871"/>
      <c r="F2" s="871"/>
      <c r="G2" s="871"/>
      <c r="H2" s="871"/>
      <c r="I2" s="871"/>
      <c r="J2" s="871"/>
      <c r="K2" s="871"/>
      <c r="L2" s="871"/>
      <c r="M2" s="871"/>
      <c r="N2" s="871"/>
      <c r="O2" s="871"/>
      <c r="P2" s="871"/>
      <c r="Q2" s="871"/>
      <c r="R2" s="872"/>
      <c r="S2" s="879" t="s">
        <v>98</v>
      </c>
      <c r="T2" s="880"/>
      <c r="U2" s="880"/>
      <c r="V2" s="880"/>
      <c r="W2" s="880"/>
      <c r="X2" s="880"/>
      <c r="Y2" s="880"/>
      <c r="Z2" s="880"/>
      <c r="AA2" s="880"/>
      <c r="AB2" s="880"/>
      <c r="AC2" s="880"/>
      <c r="AD2" s="881"/>
      <c r="AE2" s="882" t="e" vm="8">
        <v>#VALUE!</v>
      </c>
      <c r="AF2" s="883"/>
      <c r="AG2" s="883"/>
      <c r="AH2" s="883"/>
      <c r="AI2" s="883"/>
      <c r="AJ2" s="883"/>
      <c r="AK2" s="883"/>
      <c r="AL2" s="883"/>
      <c r="AM2" s="883"/>
      <c r="AN2" s="883"/>
      <c r="AO2" s="883"/>
      <c r="AP2" s="883"/>
      <c r="AQ2" s="883"/>
      <c r="AR2" s="883"/>
      <c r="AS2" s="883"/>
      <c r="AT2" s="884"/>
    </row>
    <row r="3" spans="2:46" ht="15.75" thickBot="1">
      <c r="B3" s="866"/>
      <c r="C3" s="867"/>
      <c r="D3" s="873"/>
      <c r="E3" s="874"/>
      <c r="F3" s="874"/>
      <c r="G3" s="874"/>
      <c r="H3" s="874"/>
      <c r="I3" s="874"/>
      <c r="J3" s="874"/>
      <c r="K3" s="874"/>
      <c r="L3" s="874"/>
      <c r="M3" s="874"/>
      <c r="N3" s="874"/>
      <c r="O3" s="874"/>
      <c r="P3" s="874"/>
      <c r="Q3" s="874"/>
      <c r="R3" s="875"/>
      <c r="S3" s="879" t="s">
        <v>99</v>
      </c>
      <c r="T3" s="880"/>
      <c r="U3" s="880"/>
      <c r="V3" s="880"/>
      <c r="W3" s="880"/>
      <c r="X3" s="880"/>
      <c r="Y3" s="880"/>
      <c r="Z3" s="880"/>
      <c r="AA3" s="880"/>
      <c r="AB3" s="880"/>
      <c r="AC3" s="880"/>
      <c r="AD3" s="881"/>
      <c r="AE3" s="885"/>
      <c r="AF3" s="886"/>
      <c r="AG3" s="886"/>
      <c r="AH3" s="886"/>
      <c r="AI3" s="886"/>
      <c r="AJ3" s="886"/>
      <c r="AK3" s="886"/>
      <c r="AL3" s="886"/>
      <c r="AM3" s="886"/>
      <c r="AN3" s="886"/>
      <c r="AO3" s="886"/>
      <c r="AP3" s="886"/>
      <c r="AQ3" s="886"/>
      <c r="AR3" s="886"/>
      <c r="AS3" s="886"/>
      <c r="AT3" s="887"/>
    </row>
    <row r="4" spans="2:46" ht="15.75" thickBot="1">
      <c r="B4" s="868"/>
      <c r="C4" s="869"/>
      <c r="D4" s="876"/>
      <c r="E4" s="877"/>
      <c r="F4" s="877"/>
      <c r="G4" s="877"/>
      <c r="H4" s="877"/>
      <c r="I4" s="877"/>
      <c r="J4" s="877"/>
      <c r="K4" s="877"/>
      <c r="L4" s="877"/>
      <c r="M4" s="877"/>
      <c r="N4" s="877"/>
      <c r="O4" s="877"/>
      <c r="P4" s="877"/>
      <c r="Q4" s="877"/>
      <c r="R4" s="878"/>
      <c r="S4" s="879" t="s">
        <v>100</v>
      </c>
      <c r="T4" s="880"/>
      <c r="U4" s="880"/>
      <c r="V4" s="880"/>
      <c r="W4" s="880"/>
      <c r="X4" s="880"/>
      <c r="Y4" s="880"/>
      <c r="Z4" s="880"/>
      <c r="AA4" s="880"/>
      <c r="AB4" s="880"/>
      <c r="AC4" s="880"/>
      <c r="AD4" s="881"/>
      <c r="AE4" s="888"/>
      <c r="AF4" s="889"/>
      <c r="AG4" s="889"/>
      <c r="AH4" s="889"/>
      <c r="AI4" s="889"/>
      <c r="AJ4" s="889"/>
      <c r="AK4" s="889"/>
      <c r="AL4" s="889"/>
      <c r="AM4" s="889"/>
      <c r="AN4" s="889"/>
      <c r="AO4" s="889"/>
      <c r="AP4" s="889"/>
      <c r="AQ4" s="889"/>
      <c r="AR4" s="889"/>
      <c r="AS4" s="889"/>
      <c r="AT4" s="890"/>
    </row>
    <row r="6" spans="2:46" ht="15" customHeight="1">
      <c r="B6" s="196" t="s">
        <v>101</v>
      </c>
      <c r="C6" s="244" t="s">
        <v>593</v>
      </c>
      <c r="D6" s="196" t="s">
        <v>102</v>
      </c>
      <c r="E6" s="407" t="s">
        <v>103</v>
      </c>
      <c r="F6" s="407" t="s">
        <v>104</v>
      </c>
      <c r="G6" s="407" t="s">
        <v>104</v>
      </c>
      <c r="H6" s="407" t="s">
        <v>105</v>
      </c>
      <c r="I6" s="407" t="s">
        <v>106</v>
      </c>
      <c r="J6" s="407" t="s">
        <v>107</v>
      </c>
      <c r="K6" s="407" t="s">
        <v>108</v>
      </c>
      <c r="L6" s="862" t="s">
        <v>109</v>
      </c>
      <c r="M6" s="407" t="s">
        <v>103</v>
      </c>
      <c r="N6" s="407" t="s">
        <v>104</v>
      </c>
      <c r="O6" s="407" t="s">
        <v>104</v>
      </c>
      <c r="P6" s="407" t="s">
        <v>105</v>
      </c>
      <c r="Q6" s="407" t="s">
        <v>106</v>
      </c>
      <c r="R6" s="407" t="s">
        <v>107</v>
      </c>
      <c r="S6" s="407" t="s">
        <v>108</v>
      </c>
      <c r="T6" s="862" t="s">
        <v>109</v>
      </c>
      <c r="U6" s="407" t="s">
        <v>103</v>
      </c>
      <c r="V6" s="407" t="s">
        <v>104</v>
      </c>
      <c r="W6" s="407" t="s">
        <v>104</v>
      </c>
      <c r="X6" s="407" t="s">
        <v>105</v>
      </c>
      <c r="Y6" s="407" t="s">
        <v>106</v>
      </c>
      <c r="Z6" s="407" t="s">
        <v>107</v>
      </c>
      <c r="AA6" s="407" t="s">
        <v>108</v>
      </c>
      <c r="AB6" s="862" t="s">
        <v>109</v>
      </c>
      <c r="AC6" s="407" t="s">
        <v>103</v>
      </c>
      <c r="AD6" s="407" t="s">
        <v>104</v>
      </c>
      <c r="AE6" s="407" t="s">
        <v>104</v>
      </c>
      <c r="AF6" s="407" t="s">
        <v>105</v>
      </c>
      <c r="AG6" s="407" t="s">
        <v>106</v>
      </c>
      <c r="AH6" s="407" t="s">
        <v>107</v>
      </c>
      <c r="AI6" s="407" t="s">
        <v>108</v>
      </c>
      <c r="AJ6" s="862" t="s">
        <v>109</v>
      </c>
      <c r="AK6" s="407" t="s">
        <v>103</v>
      </c>
      <c r="AL6" s="407" t="s">
        <v>104</v>
      </c>
      <c r="AM6" s="407" t="s">
        <v>104</v>
      </c>
      <c r="AN6" s="407" t="s">
        <v>105</v>
      </c>
      <c r="AO6" s="407" t="s">
        <v>106</v>
      </c>
      <c r="AP6" s="407" t="s">
        <v>107</v>
      </c>
      <c r="AQ6" s="407" t="s">
        <v>108</v>
      </c>
      <c r="AR6" s="862" t="s">
        <v>109</v>
      </c>
      <c r="AS6" s="862" t="s">
        <v>129</v>
      </c>
      <c r="AT6" s="862" t="s">
        <v>111</v>
      </c>
    </row>
    <row r="7" spans="2:46">
      <c r="B7" s="196" t="s">
        <v>112</v>
      </c>
      <c r="C7" s="244" t="s">
        <v>845</v>
      </c>
      <c r="D7" s="196" t="s">
        <v>113</v>
      </c>
      <c r="E7" s="863">
        <v>7</v>
      </c>
      <c r="F7" s="863">
        <v>8</v>
      </c>
      <c r="G7" s="863">
        <v>9</v>
      </c>
      <c r="H7" s="863">
        <v>10</v>
      </c>
      <c r="I7" s="863">
        <v>11</v>
      </c>
      <c r="J7" s="863">
        <v>12</v>
      </c>
      <c r="K7" s="863">
        <v>13</v>
      </c>
      <c r="L7" s="862"/>
      <c r="M7" s="860">
        <v>14</v>
      </c>
      <c r="N7" s="860">
        <v>15</v>
      </c>
      <c r="O7" s="860">
        <v>16</v>
      </c>
      <c r="P7" s="860">
        <v>17</v>
      </c>
      <c r="Q7" s="860">
        <v>18</v>
      </c>
      <c r="R7" s="860">
        <v>19</v>
      </c>
      <c r="S7" s="860">
        <v>20</v>
      </c>
      <c r="T7" s="862"/>
      <c r="U7" s="860">
        <v>21</v>
      </c>
      <c r="V7" s="860">
        <v>22</v>
      </c>
      <c r="W7" s="860">
        <v>23</v>
      </c>
      <c r="X7" s="860">
        <v>24</v>
      </c>
      <c r="Y7" s="860">
        <v>25</v>
      </c>
      <c r="Z7" s="860">
        <v>26</v>
      </c>
      <c r="AA7" s="860">
        <v>27</v>
      </c>
      <c r="AB7" s="862"/>
      <c r="AC7" s="860">
        <v>28</v>
      </c>
      <c r="AD7" s="860">
        <v>29</v>
      </c>
      <c r="AE7" s="860">
        <v>30</v>
      </c>
      <c r="AF7" s="860">
        <v>1</v>
      </c>
      <c r="AG7" s="860">
        <v>2</v>
      </c>
      <c r="AH7" s="860">
        <v>3</v>
      </c>
      <c r="AI7" s="860">
        <v>4</v>
      </c>
      <c r="AJ7" s="862"/>
      <c r="AK7" s="860">
        <v>5</v>
      </c>
      <c r="AL7" s="860">
        <v>6</v>
      </c>
      <c r="AM7" s="860">
        <v>7</v>
      </c>
      <c r="AN7" s="860">
        <v>8</v>
      </c>
      <c r="AO7" s="860">
        <v>9</v>
      </c>
      <c r="AP7" s="860">
        <v>10</v>
      </c>
      <c r="AQ7" s="860">
        <v>11</v>
      </c>
      <c r="AR7" s="862"/>
      <c r="AS7" s="862"/>
      <c r="AT7" s="862"/>
    </row>
    <row r="8" spans="2:46">
      <c r="B8" s="244" t="s">
        <v>42</v>
      </c>
      <c r="C8" s="244" t="s">
        <v>114</v>
      </c>
      <c r="D8" s="244" t="s">
        <v>115</v>
      </c>
      <c r="E8" s="863"/>
      <c r="F8" s="863"/>
      <c r="G8" s="863"/>
      <c r="H8" s="863"/>
      <c r="I8" s="863"/>
      <c r="J8" s="863"/>
      <c r="K8" s="863"/>
      <c r="L8" s="862"/>
      <c r="M8" s="861"/>
      <c r="N8" s="861"/>
      <c r="O8" s="861"/>
      <c r="P8" s="861"/>
      <c r="Q8" s="861"/>
      <c r="R8" s="861"/>
      <c r="S8" s="861"/>
      <c r="T8" s="862"/>
      <c r="U8" s="861"/>
      <c r="V8" s="861"/>
      <c r="W8" s="861"/>
      <c r="X8" s="861"/>
      <c r="Y8" s="861"/>
      <c r="Z8" s="861"/>
      <c r="AA8" s="861"/>
      <c r="AB8" s="862"/>
      <c r="AC8" s="861"/>
      <c r="AD8" s="861"/>
      <c r="AE8" s="861"/>
      <c r="AF8" s="861"/>
      <c r="AG8" s="861"/>
      <c r="AH8" s="861"/>
      <c r="AI8" s="861"/>
      <c r="AJ8" s="862"/>
      <c r="AK8" s="861"/>
      <c r="AL8" s="861"/>
      <c r="AM8" s="861"/>
      <c r="AN8" s="861"/>
      <c r="AO8" s="861"/>
      <c r="AP8" s="861"/>
      <c r="AQ8" s="861"/>
      <c r="AR8" s="862"/>
      <c r="AS8" s="862"/>
      <c r="AT8" s="862"/>
    </row>
    <row r="9" spans="2:46">
      <c r="B9" s="198">
        <v>1</v>
      </c>
      <c r="C9" s="358" t="s">
        <v>594</v>
      </c>
      <c r="D9" s="441" t="s">
        <v>595</v>
      </c>
      <c r="E9" s="323" t="s">
        <v>117</v>
      </c>
      <c r="F9" s="322" t="s">
        <v>108</v>
      </c>
      <c r="G9" s="322" t="s">
        <v>108</v>
      </c>
      <c r="H9" s="322" t="s">
        <v>116</v>
      </c>
      <c r="I9" s="322" t="s">
        <v>116</v>
      </c>
      <c r="J9" s="322" t="s">
        <v>116</v>
      </c>
      <c r="K9" s="323" t="s">
        <v>117</v>
      </c>
      <c r="L9" s="408">
        <v>60</v>
      </c>
      <c r="M9" s="323" t="s">
        <v>117</v>
      </c>
      <c r="N9" s="322" t="s">
        <v>108</v>
      </c>
      <c r="O9" s="322" t="s">
        <v>108</v>
      </c>
      <c r="P9" s="322" t="s">
        <v>116</v>
      </c>
      <c r="Q9" s="322" t="s">
        <v>116</v>
      </c>
      <c r="R9" s="322" t="s">
        <v>116</v>
      </c>
      <c r="S9" s="323" t="s">
        <v>117</v>
      </c>
      <c r="T9" s="408">
        <v>60</v>
      </c>
      <c r="U9" s="323" t="s">
        <v>117</v>
      </c>
      <c r="V9" s="322" t="s">
        <v>108</v>
      </c>
      <c r="W9" s="322" t="s">
        <v>108</v>
      </c>
      <c r="X9" s="322" t="s">
        <v>116</v>
      </c>
      <c r="Y9" s="322" t="s">
        <v>116</v>
      </c>
      <c r="Z9" s="322" t="s">
        <v>116</v>
      </c>
      <c r="AA9" s="323" t="s">
        <v>117</v>
      </c>
      <c r="AB9" s="408">
        <v>60</v>
      </c>
      <c r="AC9" s="323" t="s">
        <v>117</v>
      </c>
      <c r="AD9" s="322" t="s">
        <v>108</v>
      </c>
      <c r="AE9" s="322" t="s">
        <v>108</v>
      </c>
      <c r="AF9" s="322" t="s">
        <v>116</v>
      </c>
      <c r="AG9" s="322" t="s">
        <v>116</v>
      </c>
      <c r="AH9" s="322" t="s">
        <v>116</v>
      </c>
      <c r="AI9" s="323" t="s">
        <v>117</v>
      </c>
      <c r="AJ9" s="408">
        <v>60</v>
      </c>
      <c r="AK9" s="323" t="s">
        <v>117</v>
      </c>
      <c r="AL9" s="322" t="s">
        <v>108</v>
      </c>
      <c r="AM9" s="322" t="s">
        <v>108</v>
      </c>
      <c r="AN9" s="322" t="s">
        <v>116</v>
      </c>
      <c r="AO9" s="322" t="s">
        <v>116</v>
      </c>
      <c r="AP9" s="322" t="s">
        <v>116</v>
      </c>
      <c r="AQ9" s="323" t="s">
        <v>117</v>
      </c>
      <c r="AR9" s="408">
        <v>60</v>
      </c>
      <c r="AS9" s="383">
        <f>+L9+T9+AB9+AR9</f>
        <v>240</v>
      </c>
      <c r="AT9" s="340">
        <v>20</v>
      </c>
    </row>
    <row r="10" spans="2:46">
      <c r="B10" s="198">
        <v>2</v>
      </c>
      <c r="C10" s="193" t="s">
        <v>596</v>
      </c>
      <c r="D10" s="358" t="s">
        <v>597</v>
      </c>
      <c r="E10" s="11" t="s">
        <v>116</v>
      </c>
      <c r="F10" s="327" t="s">
        <v>117</v>
      </c>
      <c r="G10" s="327" t="s">
        <v>117</v>
      </c>
      <c r="H10" s="11" t="s">
        <v>108</v>
      </c>
      <c r="I10" s="11" t="s">
        <v>108</v>
      </c>
      <c r="J10" s="11" t="s">
        <v>108</v>
      </c>
      <c r="K10" s="11" t="s">
        <v>116</v>
      </c>
      <c r="L10" s="408">
        <v>60</v>
      </c>
      <c r="M10" s="11" t="s">
        <v>116</v>
      </c>
      <c r="N10" s="327" t="s">
        <v>117</v>
      </c>
      <c r="O10" s="327" t="s">
        <v>117</v>
      </c>
      <c r="P10" s="11" t="s">
        <v>108</v>
      </c>
      <c r="Q10" s="11" t="s">
        <v>108</v>
      </c>
      <c r="R10" s="11" t="s">
        <v>108</v>
      </c>
      <c r="S10" s="11" t="s">
        <v>116</v>
      </c>
      <c r="T10" s="408">
        <v>60</v>
      </c>
      <c r="U10" s="11" t="s">
        <v>116</v>
      </c>
      <c r="V10" s="327" t="s">
        <v>117</v>
      </c>
      <c r="W10" s="327" t="s">
        <v>117</v>
      </c>
      <c r="X10" s="11" t="s">
        <v>108</v>
      </c>
      <c r="Y10" s="11" t="s">
        <v>108</v>
      </c>
      <c r="Z10" s="11" t="s">
        <v>108</v>
      </c>
      <c r="AA10" s="11" t="s">
        <v>116</v>
      </c>
      <c r="AB10" s="408">
        <v>60</v>
      </c>
      <c r="AC10" s="11" t="s">
        <v>116</v>
      </c>
      <c r="AD10" s="327" t="s">
        <v>117</v>
      </c>
      <c r="AE10" s="327" t="s">
        <v>117</v>
      </c>
      <c r="AF10" s="11" t="s">
        <v>108</v>
      </c>
      <c r="AG10" s="11" t="s">
        <v>108</v>
      </c>
      <c r="AH10" s="11" t="s">
        <v>108</v>
      </c>
      <c r="AI10" s="11" t="s">
        <v>116</v>
      </c>
      <c r="AJ10" s="408">
        <v>60</v>
      </c>
      <c r="AK10" s="11" t="s">
        <v>116</v>
      </c>
      <c r="AL10" s="327" t="s">
        <v>117</v>
      </c>
      <c r="AM10" s="327" t="s">
        <v>117</v>
      </c>
      <c r="AN10" s="11" t="s">
        <v>108</v>
      </c>
      <c r="AO10" s="11" t="s">
        <v>108</v>
      </c>
      <c r="AP10" s="11" t="s">
        <v>108</v>
      </c>
      <c r="AQ10" s="11" t="s">
        <v>116</v>
      </c>
      <c r="AR10" s="408">
        <v>60</v>
      </c>
      <c r="AS10" s="383">
        <f t="shared" ref="AS10:AS13" si="0">+L10+T10+AB10+AR10</f>
        <v>240</v>
      </c>
      <c r="AT10" s="340">
        <v>20</v>
      </c>
    </row>
    <row r="11" spans="2:46">
      <c r="B11" s="198">
        <v>3</v>
      </c>
      <c r="C11" s="622" t="s">
        <v>889</v>
      </c>
      <c r="D11" s="622" t="s">
        <v>890</v>
      </c>
      <c r="E11" s="11" t="s">
        <v>108</v>
      </c>
      <c r="F11" s="322" t="s">
        <v>116</v>
      </c>
      <c r="G11" s="322" t="s">
        <v>116</v>
      </c>
      <c r="H11" s="401" t="s">
        <v>117</v>
      </c>
      <c r="I11" s="401" t="s">
        <v>117</v>
      </c>
      <c r="J11" s="411" t="s">
        <v>108</v>
      </c>
      <c r="K11" s="411" t="s">
        <v>108</v>
      </c>
      <c r="L11" s="408">
        <v>60</v>
      </c>
      <c r="M11" s="11" t="s">
        <v>108</v>
      </c>
      <c r="N11" s="322" t="s">
        <v>116</v>
      </c>
      <c r="O11" s="322" t="s">
        <v>116</v>
      </c>
      <c r="P11" s="401" t="s">
        <v>117</v>
      </c>
      <c r="Q11" s="401" t="s">
        <v>117</v>
      </c>
      <c r="R11" s="411" t="s">
        <v>108</v>
      </c>
      <c r="S11" s="411" t="s">
        <v>108</v>
      </c>
      <c r="T11" s="408">
        <v>60</v>
      </c>
      <c r="U11" s="11" t="s">
        <v>108</v>
      </c>
      <c r="V11" s="322" t="s">
        <v>116</v>
      </c>
      <c r="W11" s="322" t="s">
        <v>116</v>
      </c>
      <c r="X11" s="401" t="s">
        <v>117</v>
      </c>
      <c r="Y11" s="401" t="s">
        <v>117</v>
      </c>
      <c r="Z11" s="411" t="s">
        <v>108</v>
      </c>
      <c r="AA11" s="411" t="s">
        <v>108</v>
      </c>
      <c r="AB11" s="408">
        <v>60</v>
      </c>
      <c r="AC11" s="11" t="s">
        <v>108</v>
      </c>
      <c r="AD11" s="322" t="s">
        <v>116</v>
      </c>
      <c r="AE11" s="322" t="s">
        <v>116</v>
      </c>
      <c r="AF11" s="401" t="s">
        <v>117</v>
      </c>
      <c r="AG11" s="401" t="s">
        <v>117</v>
      </c>
      <c r="AH11" s="411" t="s">
        <v>108</v>
      </c>
      <c r="AI11" s="411" t="s">
        <v>108</v>
      </c>
      <c r="AJ11" s="408">
        <v>60</v>
      </c>
      <c r="AK11" s="11" t="s">
        <v>108</v>
      </c>
      <c r="AL11" s="322" t="s">
        <v>116</v>
      </c>
      <c r="AM11" s="322" t="s">
        <v>116</v>
      </c>
      <c r="AN11" s="401" t="s">
        <v>117</v>
      </c>
      <c r="AO11" s="401" t="s">
        <v>117</v>
      </c>
      <c r="AP11" s="411" t="s">
        <v>108</v>
      </c>
      <c r="AQ11" s="411" t="s">
        <v>108</v>
      </c>
      <c r="AR11" s="408">
        <v>60</v>
      </c>
      <c r="AS11" s="383">
        <f t="shared" si="0"/>
        <v>240</v>
      </c>
      <c r="AT11" s="340">
        <v>20</v>
      </c>
    </row>
    <row r="12" spans="2:46">
      <c r="B12" s="198">
        <v>4</v>
      </c>
      <c r="C12" s="451" t="s">
        <v>835</v>
      </c>
      <c r="D12" s="451" t="s">
        <v>836</v>
      </c>
      <c r="E12" s="402" t="s">
        <v>137</v>
      </c>
      <c r="F12" s="402" t="s">
        <v>137</v>
      </c>
      <c r="G12" s="403" t="s">
        <v>117</v>
      </c>
      <c r="H12" s="404" t="s">
        <v>117</v>
      </c>
      <c r="I12" s="402" t="s">
        <v>137</v>
      </c>
      <c r="J12" s="405" t="s">
        <v>137</v>
      </c>
      <c r="K12" s="406" t="s">
        <v>108</v>
      </c>
      <c r="L12" s="408">
        <v>60</v>
      </c>
      <c r="M12" s="402" t="s">
        <v>137</v>
      </c>
      <c r="N12" s="402" t="s">
        <v>137</v>
      </c>
      <c r="O12" s="403" t="s">
        <v>117</v>
      </c>
      <c r="P12" s="404" t="s">
        <v>117</v>
      </c>
      <c r="Q12" s="402" t="s">
        <v>137</v>
      </c>
      <c r="R12" s="405" t="s">
        <v>137</v>
      </c>
      <c r="S12" s="406" t="s">
        <v>108</v>
      </c>
      <c r="T12" s="408">
        <v>60</v>
      </c>
      <c r="U12" s="402" t="s">
        <v>137</v>
      </c>
      <c r="V12" s="402" t="s">
        <v>137</v>
      </c>
      <c r="W12" s="403" t="s">
        <v>117</v>
      </c>
      <c r="X12" s="404" t="s">
        <v>117</v>
      </c>
      <c r="Y12" s="402" t="s">
        <v>137</v>
      </c>
      <c r="Z12" s="405" t="s">
        <v>137</v>
      </c>
      <c r="AA12" s="406" t="s">
        <v>108</v>
      </c>
      <c r="AB12" s="408">
        <v>60</v>
      </c>
      <c r="AC12" s="402" t="s">
        <v>137</v>
      </c>
      <c r="AD12" s="402" t="s">
        <v>137</v>
      </c>
      <c r="AE12" s="403" t="s">
        <v>117</v>
      </c>
      <c r="AF12" s="404" t="s">
        <v>117</v>
      </c>
      <c r="AG12" s="402" t="s">
        <v>137</v>
      </c>
      <c r="AH12" s="405" t="s">
        <v>137</v>
      </c>
      <c r="AI12" s="406" t="s">
        <v>108</v>
      </c>
      <c r="AJ12" s="408">
        <v>60</v>
      </c>
      <c r="AK12" s="402" t="s">
        <v>137</v>
      </c>
      <c r="AL12" s="402" t="s">
        <v>137</v>
      </c>
      <c r="AM12" s="403" t="s">
        <v>117</v>
      </c>
      <c r="AN12" s="404" t="s">
        <v>117</v>
      </c>
      <c r="AO12" s="402" t="s">
        <v>137</v>
      </c>
      <c r="AP12" s="405" t="s">
        <v>137</v>
      </c>
      <c r="AQ12" s="406" t="s">
        <v>108</v>
      </c>
      <c r="AR12" s="408">
        <v>60</v>
      </c>
      <c r="AS12" s="383">
        <f t="shared" si="0"/>
        <v>240</v>
      </c>
      <c r="AT12" s="340">
        <v>20</v>
      </c>
    </row>
    <row r="13" spans="2:46">
      <c r="B13" s="198">
        <v>5</v>
      </c>
      <c r="C13" s="193" t="s">
        <v>598</v>
      </c>
      <c r="D13" s="358" t="s">
        <v>599</v>
      </c>
      <c r="E13" s="403" t="s">
        <v>117</v>
      </c>
      <c r="F13" s="404" t="s">
        <v>117</v>
      </c>
      <c r="G13" s="402" t="s">
        <v>137</v>
      </c>
      <c r="H13" s="402" t="s">
        <v>137</v>
      </c>
      <c r="I13" s="409" t="s">
        <v>106</v>
      </c>
      <c r="J13" s="409" t="s">
        <v>116</v>
      </c>
      <c r="K13" s="410" t="s">
        <v>600</v>
      </c>
      <c r="L13" s="408">
        <v>63</v>
      </c>
      <c r="M13" s="403" t="s">
        <v>117</v>
      </c>
      <c r="N13" s="404" t="s">
        <v>117</v>
      </c>
      <c r="O13" s="402" t="s">
        <v>137</v>
      </c>
      <c r="P13" s="402" t="s">
        <v>137</v>
      </c>
      <c r="Q13" s="409" t="s">
        <v>106</v>
      </c>
      <c r="R13" s="409" t="s">
        <v>116</v>
      </c>
      <c r="S13" s="410" t="s">
        <v>600</v>
      </c>
      <c r="T13" s="408">
        <v>63</v>
      </c>
      <c r="U13" s="403" t="s">
        <v>117</v>
      </c>
      <c r="V13" s="404" t="s">
        <v>117</v>
      </c>
      <c r="W13" s="402" t="s">
        <v>137</v>
      </c>
      <c r="X13" s="402" t="s">
        <v>137</v>
      </c>
      <c r="Y13" s="409" t="s">
        <v>106</v>
      </c>
      <c r="Z13" s="409" t="s">
        <v>116</v>
      </c>
      <c r="AA13" s="410" t="s">
        <v>600</v>
      </c>
      <c r="AB13" s="408">
        <v>63</v>
      </c>
      <c r="AC13" s="403" t="s">
        <v>117</v>
      </c>
      <c r="AD13" s="404" t="s">
        <v>117</v>
      </c>
      <c r="AE13" s="402" t="s">
        <v>137</v>
      </c>
      <c r="AF13" s="402" t="s">
        <v>137</v>
      </c>
      <c r="AG13" s="409" t="s">
        <v>106</v>
      </c>
      <c r="AH13" s="409" t="s">
        <v>116</v>
      </c>
      <c r="AI13" s="410" t="s">
        <v>600</v>
      </c>
      <c r="AJ13" s="408">
        <v>63</v>
      </c>
      <c r="AK13" s="403" t="s">
        <v>117</v>
      </c>
      <c r="AL13" s="404" t="s">
        <v>117</v>
      </c>
      <c r="AM13" s="402" t="s">
        <v>137</v>
      </c>
      <c r="AN13" s="402" t="s">
        <v>137</v>
      </c>
      <c r="AO13" s="409" t="s">
        <v>106</v>
      </c>
      <c r="AP13" s="409" t="s">
        <v>116</v>
      </c>
      <c r="AQ13" s="410" t="s">
        <v>600</v>
      </c>
      <c r="AR13" s="408">
        <v>63</v>
      </c>
      <c r="AS13" s="383">
        <f t="shared" si="0"/>
        <v>252</v>
      </c>
      <c r="AT13" s="340">
        <v>20</v>
      </c>
    </row>
    <row r="15" spans="2:46">
      <c r="B15" s="244" t="s">
        <v>132</v>
      </c>
      <c r="C15" s="244" t="s">
        <v>133</v>
      </c>
      <c r="D15" s="244" t="s">
        <v>101</v>
      </c>
    </row>
    <row r="16" spans="2:46">
      <c r="B16" s="199" t="s">
        <v>137</v>
      </c>
      <c r="C16" s="113" t="s">
        <v>601</v>
      </c>
      <c r="D16" s="113" t="s">
        <v>593</v>
      </c>
    </row>
    <row r="17" spans="2:46">
      <c r="B17" s="245" t="s">
        <v>106</v>
      </c>
      <c r="C17" s="197" t="s">
        <v>602</v>
      </c>
      <c r="D17" s="113" t="s">
        <v>603</v>
      </c>
    </row>
    <row r="18" spans="2:46">
      <c r="B18" s="40" t="s">
        <v>116</v>
      </c>
      <c r="C18" s="113" t="s">
        <v>134</v>
      </c>
      <c r="D18" s="113" t="s">
        <v>593</v>
      </c>
    </row>
    <row r="19" spans="2:46">
      <c r="B19" s="245" t="s">
        <v>600</v>
      </c>
      <c r="C19" s="113" t="s">
        <v>604</v>
      </c>
      <c r="D19" s="113" t="s">
        <v>603</v>
      </c>
    </row>
    <row r="20" spans="2:46" ht="15" customHeight="1">
      <c r="B20" s="24" t="s">
        <v>108</v>
      </c>
      <c r="C20" s="113" t="s">
        <v>605</v>
      </c>
      <c r="D20" s="113" t="s">
        <v>606</v>
      </c>
      <c r="AR20" s="859"/>
      <c r="AS20" s="859"/>
      <c r="AT20" s="859"/>
    </row>
    <row r="21" spans="2:46">
      <c r="B21" s="133" t="s">
        <v>117</v>
      </c>
      <c r="C21" s="113" t="s">
        <v>119</v>
      </c>
      <c r="D21" s="24" t="s">
        <v>593</v>
      </c>
      <c r="AR21" s="859"/>
      <c r="AS21" s="859"/>
      <c r="AT21" s="859"/>
    </row>
    <row r="22" spans="2:46">
      <c r="AR22" s="859"/>
      <c r="AS22" s="859"/>
      <c r="AT22" s="859"/>
    </row>
    <row r="24" spans="2:46" ht="15" customHeight="1"/>
  </sheetData>
  <mergeCells count="51">
    <mergeCell ref="B2:C4"/>
    <mergeCell ref="D2:R4"/>
    <mergeCell ref="S2:AD2"/>
    <mergeCell ref="AE2:AT4"/>
    <mergeCell ref="S3:AD3"/>
    <mergeCell ref="S4:AD4"/>
    <mergeCell ref="L6:L8"/>
    <mergeCell ref="E7:E8"/>
    <mergeCell ref="F7:F8"/>
    <mergeCell ref="G7:G8"/>
    <mergeCell ref="H7:H8"/>
    <mergeCell ref="I7:I8"/>
    <mergeCell ref="J7:J8"/>
    <mergeCell ref="K7:K8"/>
    <mergeCell ref="AB6:AB8"/>
    <mergeCell ref="T6:T8"/>
    <mergeCell ref="AT6:AT8"/>
    <mergeCell ref="AR6:AR8"/>
    <mergeCell ref="AS6:AS8"/>
    <mergeCell ref="AJ6:AJ8"/>
    <mergeCell ref="AQ7:AQ8"/>
    <mergeCell ref="X7:X8"/>
    <mergeCell ref="Y7:Y8"/>
    <mergeCell ref="Z7:Z8"/>
    <mergeCell ref="AA7:AA8"/>
    <mergeCell ref="AC7:AC8"/>
    <mergeCell ref="AD7:AD8"/>
    <mergeCell ref="AE7:AE8"/>
    <mergeCell ref="AF7:AF8"/>
    <mergeCell ref="AG7:AG8"/>
    <mergeCell ref="M7:M8"/>
    <mergeCell ref="N7:N8"/>
    <mergeCell ref="O7:O8"/>
    <mergeCell ref="P7:P8"/>
    <mergeCell ref="Q7:Q8"/>
    <mergeCell ref="R7:R8"/>
    <mergeCell ref="S7:S8"/>
    <mergeCell ref="U7:U8"/>
    <mergeCell ref="V7:V8"/>
    <mergeCell ref="W7:W8"/>
    <mergeCell ref="AH7:AH8"/>
    <mergeCell ref="AI7:AI8"/>
    <mergeCell ref="AK7:AK8"/>
    <mergeCell ref="AL7:AL8"/>
    <mergeCell ref="AM7:AM8"/>
    <mergeCell ref="AR20:AR22"/>
    <mergeCell ref="AS20:AS22"/>
    <mergeCell ref="AT20:AT22"/>
    <mergeCell ref="AN7:AN8"/>
    <mergeCell ref="AO7:AO8"/>
    <mergeCell ref="AP7:AP8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B6D20-DB93-4C44-9747-74A757870889}">
  <sheetPr>
    <tabColor theme="0" tint="-0.249977111117893"/>
  </sheetPr>
  <dimension ref="A1:AN52"/>
  <sheetViews>
    <sheetView topLeftCell="B13" zoomScale="80" zoomScaleNormal="80" workbookViewId="0">
      <selection activeCell="F21" sqref="E21:F21"/>
    </sheetView>
  </sheetViews>
  <sheetFormatPr baseColWidth="10" defaultColWidth="11.42578125" defaultRowHeight="15"/>
  <cols>
    <col min="1" max="1" width="1.7109375" style="132" hidden="1" customWidth="1"/>
    <col min="2" max="2" width="3.5703125" style="132" customWidth="1"/>
    <col min="3" max="3" width="18.85546875" style="132" bestFit="1" customWidth="1"/>
    <col min="4" max="4" width="21.7109375" style="132" bestFit="1" customWidth="1"/>
    <col min="5" max="5" width="21.5703125" style="132" bestFit="1" customWidth="1"/>
    <col min="6" max="6" width="30.140625" style="132" customWidth="1"/>
    <col min="7" max="7" width="2.7109375" style="132" bestFit="1" customWidth="1"/>
    <col min="8" max="9" width="3" style="132" bestFit="1" customWidth="1"/>
    <col min="10" max="13" width="3.42578125" style="132" bestFit="1" customWidth="1"/>
    <col min="14" max="14" width="3.7109375" style="132" customWidth="1"/>
    <col min="15" max="21" width="3.42578125" style="132" bestFit="1" customWidth="1"/>
    <col min="22" max="22" width="3.7109375" style="132" customWidth="1"/>
    <col min="23" max="29" width="3.42578125" style="132" bestFit="1" customWidth="1"/>
    <col min="30" max="30" width="3.7109375" style="132" customWidth="1"/>
    <col min="31" max="33" width="3.42578125" style="132" bestFit="1" customWidth="1"/>
    <col min="34" max="37" width="2.7109375" style="132" bestFit="1" customWidth="1"/>
    <col min="38" max="45" width="3.7109375" style="132" customWidth="1"/>
    <col min="46" max="46" width="3.5703125" style="132" customWidth="1"/>
    <col min="47" max="47" width="5.5703125" style="132" customWidth="1"/>
    <col min="48" max="48" width="4" style="132" customWidth="1"/>
    <col min="49" max="82" width="3.7109375" style="132" customWidth="1"/>
    <col min="83" max="16384" width="11.42578125" style="132"/>
  </cols>
  <sheetData>
    <row r="1" spans="2:40">
      <c r="N1" s="23"/>
      <c r="O1" s="23"/>
      <c r="P1" s="23"/>
      <c r="Q1" s="23"/>
    </row>
    <row r="2" spans="2:40">
      <c r="C2" s="886" t="e" vm="9">
        <v>#VALUE!</v>
      </c>
      <c r="D2" s="886"/>
      <c r="E2" s="886"/>
      <c r="F2" s="874" t="s">
        <v>97</v>
      </c>
      <c r="G2" s="874"/>
      <c r="H2" s="874"/>
      <c r="I2" s="874"/>
      <c r="J2" s="874"/>
      <c r="K2" s="886" t="s">
        <v>98</v>
      </c>
      <c r="L2" s="886"/>
      <c r="M2" s="886"/>
      <c r="N2" s="886"/>
      <c r="O2" s="886"/>
      <c r="P2" s="886"/>
      <c r="Q2" s="886"/>
      <c r="R2" s="886"/>
      <c r="S2" s="886"/>
      <c r="T2" s="886"/>
      <c r="U2" s="886" t="e" vm="10">
        <v>#VALUE!</v>
      </c>
      <c r="V2" s="886"/>
      <c r="W2" s="886"/>
      <c r="X2" s="886"/>
      <c r="Y2" s="886"/>
      <c r="Z2" s="886"/>
      <c r="AA2" s="886"/>
      <c r="AB2" s="886"/>
      <c r="AC2" s="886"/>
    </row>
    <row r="3" spans="2:40">
      <c r="C3" s="886"/>
      <c r="D3" s="886"/>
      <c r="E3" s="886"/>
      <c r="F3" s="874"/>
      <c r="G3" s="874"/>
      <c r="H3" s="874"/>
      <c r="I3" s="874"/>
      <c r="J3" s="874"/>
      <c r="K3" s="886" t="s">
        <v>99</v>
      </c>
      <c r="L3" s="886"/>
      <c r="M3" s="886"/>
      <c r="N3" s="886"/>
      <c r="O3" s="886"/>
      <c r="P3" s="886"/>
      <c r="Q3" s="886"/>
      <c r="R3" s="886"/>
      <c r="S3" s="886"/>
      <c r="T3" s="886"/>
      <c r="U3" s="886"/>
      <c r="V3" s="886"/>
      <c r="W3" s="886"/>
      <c r="X3" s="886"/>
      <c r="Y3" s="886"/>
      <c r="Z3" s="886"/>
      <c r="AA3" s="886"/>
      <c r="AB3" s="886"/>
      <c r="AC3" s="886"/>
    </row>
    <row r="4" spans="2:40" ht="15" customHeight="1">
      <c r="C4" s="886"/>
      <c r="D4" s="886"/>
      <c r="E4" s="886"/>
      <c r="F4" s="874"/>
      <c r="G4" s="874"/>
      <c r="H4" s="874"/>
      <c r="I4" s="874"/>
      <c r="J4" s="874"/>
      <c r="K4" s="886" t="s">
        <v>100</v>
      </c>
      <c r="L4" s="886"/>
      <c r="M4" s="886"/>
      <c r="N4" s="886"/>
      <c r="O4" s="886"/>
      <c r="P4" s="886"/>
      <c r="Q4" s="886"/>
      <c r="R4" s="886"/>
      <c r="S4" s="886"/>
      <c r="T4" s="886"/>
      <c r="U4" s="886"/>
      <c r="V4" s="886"/>
      <c r="W4" s="886"/>
      <c r="X4" s="886"/>
      <c r="Y4" s="886"/>
      <c r="Z4" s="886"/>
      <c r="AA4" s="886"/>
      <c r="AB4" s="886"/>
      <c r="AC4" s="886"/>
    </row>
    <row r="5" spans="2:40" ht="15" customHeight="1">
      <c r="C5" s="897" t="s">
        <v>696</v>
      </c>
      <c r="D5" s="897"/>
      <c r="E5" s="897"/>
      <c r="F5" s="897"/>
      <c r="G5" s="897"/>
      <c r="H5" s="897"/>
      <c r="I5" s="897"/>
      <c r="J5" s="897"/>
      <c r="K5" s="897"/>
      <c r="L5" s="897"/>
      <c r="M5" s="897"/>
      <c r="N5" s="897"/>
      <c r="O5" s="897"/>
      <c r="P5" s="897"/>
      <c r="Q5" s="897"/>
      <c r="R5" s="897"/>
      <c r="S5" s="897"/>
      <c r="T5" s="897"/>
      <c r="U5" s="898"/>
      <c r="V5" s="898"/>
      <c r="W5" s="898"/>
      <c r="X5" s="898"/>
      <c r="Y5" s="220"/>
    </row>
    <row r="6" spans="2:40" ht="15" customHeight="1">
      <c r="C6" s="897"/>
      <c r="D6" s="897"/>
      <c r="E6" s="897"/>
      <c r="F6" s="897"/>
      <c r="G6" s="897"/>
      <c r="H6" s="897"/>
      <c r="I6" s="897"/>
      <c r="J6" s="897"/>
      <c r="K6" s="897"/>
      <c r="L6" s="897"/>
      <c r="M6" s="897"/>
      <c r="N6" s="897"/>
      <c r="O6" s="897"/>
      <c r="P6" s="897"/>
      <c r="Q6" s="897"/>
      <c r="R6" s="897"/>
      <c r="S6" s="897"/>
      <c r="T6" s="897"/>
      <c r="U6" s="897"/>
      <c r="V6" s="897"/>
      <c r="W6" s="897"/>
      <c r="X6" s="897"/>
      <c r="Y6" s="220"/>
    </row>
    <row r="7" spans="2:40" ht="15" customHeight="1">
      <c r="C7" s="196" t="s">
        <v>101</v>
      </c>
      <c r="D7" s="895" t="s">
        <v>632</v>
      </c>
      <c r="E7" s="896"/>
      <c r="F7" s="196" t="s">
        <v>102</v>
      </c>
      <c r="G7" s="229" t="s">
        <v>103</v>
      </c>
      <c r="H7" s="229" t="s">
        <v>104</v>
      </c>
      <c r="I7" s="229" t="s">
        <v>104</v>
      </c>
      <c r="J7" s="229" t="s">
        <v>105</v>
      </c>
      <c r="K7" s="229" t="s">
        <v>106</v>
      </c>
      <c r="L7" s="229" t="s">
        <v>107</v>
      </c>
      <c r="M7" s="229" t="s">
        <v>108</v>
      </c>
      <c r="N7" s="844" t="s">
        <v>109</v>
      </c>
      <c r="O7" s="230" t="s">
        <v>103</v>
      </c>
      <c r="P7" s="230" t="s">
        <v>104</v>
      </c>
      <c r="Q7" s="230" t="s">
        <v>104</v>
      </c>
      <c r="R7" s="230" t="s">
        <v>105</v>
      </c>
      <c r="S7" s="230" t="s">
        <v>106</v>
      </c>
      <c r="T7" s="230" t="s">
        <v>107</v>
      </c>
      <c r="U7" s="230" t="s">
        <v>108</v>
      </c>
      <c r="V7" s="844" t="s">
        <v>109</v>
      </c>
      <c r="W7" s="231" t="s">
        <v>103</v>
      </c>
      <c r="X7" s="231" t="s">
        <v>104</v>
      </c>
      <c r="Y7" s="231" t="s">
        <v>104</v>
      </c>
      <c r="Z7" s="231" t="s">
        <v>105</v>
      </c>
      <c r="AA7" s="231" t="s">
        <v>106</v>
      </c>
      <c r="AB7" s="231" t="s">
        <v>107</v>
      </c>
      <c r="AC7" s="231" t="s">
        <v>108</v>
      </c>
      <c r="AD7" s="844" t="s">
        <v>109</v>
      </c>
      <c r="AE7" s="227" t="s">
        <v>103</v>
      </c>
      <c r="AF7" s="227" t="s">
        <v>104</v>
      </c>
      <c r="AG7" s="227" t="s">
        <v>104</v>
      </c>
      <c r="AH7" s="228" t="s">
        <v>105</v>
      </c>
      <c r="AI7" s="228" t="s">
        <v>106</v>
      </c>
      <c r="AJ7" s="228" t="s">
        <v>107</v>
      </c>
      <c r="AK7" s="228" t="s">
        <v>108</v>
      </c>
      <c r="AL7" s="899" t="s">
        <v>109</v>
      </c>
      <c r="AM7" s="899" t="s">
        <v>129</v>
      </c>
      <c r="AN7" s="899" t="s">
        <v>111</v>
      </c>
    </row>
    <row r="8" spans="2:40">
      <c r="C8" s="196" t="s">
        <v>112</v>
      </c>
      <c r="D8" s="196" t="s">
        <v>845</v>
      </c>
      <c r="E8" s="113">
        <v>2026</v>
      </c>
      <c r="F8" s="196" t="s">
        <v>113</v>
      </c>
      <c r="G8" s="645">
        <v>7</v>
      </c>
      <c r="H8" s="645">
        <v>8</v>
      </c>
      <c r="I8" s="645">
        <v>9</v>
      </c>
      <c r="J8" s="645">
        <v>10</v>
      </c>
      <c r="K8" s="645">
        <v>11</v>
      </c>
      <c r="L8" s="645">
        <v>12</v>
      </c>
      <c r="M8" s="645">
        <v>13</v>
      </c>
      <c r="N8" s="844"/>
      <c r="O8" s="645">
        <v>14</v>
      </c>
      <c r="P8" s="645">
        <v>15</v>
      </c>
      <c r="Q8" s="645">
        <v>16</v>
      </c>
      <c r="R8" s="645">
        <v>17</v>
      </c>
      <c r="S8" s="645">
        <v>18</v>
      </c>
      <c r="T8" s="645">
        <v>19</v>
      </c>
      <c r="U8" s="645">
        <v>20</v>
      </c>
      <c r="V8" s="844"/>
      <c r="W8" s="645">
        <v>21</v>
      </c>
      <c r="X8" s="645">
        <v>22</v>
      </c>
      <c r="Y8" s="645">
        <v>23</v>
      </c>
      <c r="Z8" s="645">
        <v>24</v>
      </c>
      <c r="AA8" s="645">
        <v>25</v>
      </c>
      <c r="AB8" s="645">
        <v>26</v>
      </c>
      <c r="AC8" s="645">
        <v>27</v>
      </c>
      <c r="AD8" s="844"/>
      <c r="AE8" s="645">
        <v>28</v>
      </c>
      <c r="AF8" s="645">
        <v>29</v>
      </c>
      <c r="AG8" s="645">
        <v>30</v>
      </c>
      <c r="AH8" s="645">
        <v>1</v>
      </c>
      <c r="AI8" s="645">
        <v>2</v>
      </c>
      <c r="AJ8" s="645">
        <v>3</v>
      </c>
      <c r="AK8" s="645">
        <v>4</v>
      </c>
      <c r="AL8" s="899"/>
      <c r="AM8" s="899"/>
      <c r="AN8" s="899"/>
    </row>
    <row r="9" spans="2:40">
      <c r="C9" s="325" t="s">
        <v>42</v>
      </c>
      <c r="D9" s="325" t="s">
        <v>245</v>
      </c>
      <c r="E9" s="218" t="s">
        <v>114</v>
      </c>
      <c r="F9" s="218" t="s">
        <v>115</v>
      </c>
      <c r="G9" s="645"/>
      <c r="H9" s="645"/>
      <c r="I9" s="645"/>
      <c r="J9" s="645"/>
      <c r="K9" s="645"/>
      <c r="L9" s="645"/>
      <c r="M9" s="645"/>
      <c r="N9" s="844"/>
      <c r="O9" s="645"/>
      <c r="P9" s="645"/>
      <c r="Q9" s="645"/>
      <c r="R9" s="645"/>
      <c r="S9" s="645"/>
      <c r="T9" s="645"/>
      <c r="U9" s="645"/>
      <c r="V9" s="844"/>
      <c r="W9" s="645"/>
      <c r="X9" s="645"/>
      <c r="Y9" s="645"/>
      <c r="Z9" s="645"/>
      <c r="AA9" s="645"/>
      <c r="AB9" s="645"/>
      <c r="AC9" s="645"/>
      <c r="AD9" s="844"/>
      <c r="AE9" s="645"/>
      <c r="AF9" s="645"/>
      <c r="AG9" s="645"/>
      <c r="AH9" s="645"/>
      <c r="AI9" s="645"/>
      <c r="AJ9" s="645"/>
      <c r="AK9" s="645"/>
      <c r="AL9" s="899"/>
      <c r="AM9" s="899"/>
      <c r="AN9" s="899"/>
    </row>
    <row r="10" spans="2:40">
      <c r="B10" s="132">
        <v>1</v>
      </c>
      <c r="C10" s="891" t="s">
        <v>633</v>
      </c>
      <c r="D10" s="894" t="s">
        <v>634</v>
      </c>
      <c r="E10" s="412" t="s">
        <v>635</v>
      </c>
      <c r="F10" s="412" t="s">
        <v>636</v>
      </c>
      <c r="G10" s="234" t="s">
        <v>116</v>
      </c>
      <c r="H10" s="235" t="s">
        <v>117</v>
      </c>
      <c r="I10" s="235" t="s">
        <v>117</v>
      </c>
      <c r="J10" s="234" t="s">
        <v>108</v>
      </c>
      <c r="K10" s="234" t="s">
        <v>108</v>
      </c>
      <c r="L10" s="234" t="s">
        <v>116</v>
      </c>
      <c r="M10" s="234" t="s">
        <v>116</v>
      </c>
      <c r="N10" s="342">
        <v>60</v>
      </c>
      <c r="O10" s="234" t="s">
        <v>116</v>
      </c>
      <c r="P10" s="235" t="s">
        <v>117</v>
      </c>
      <c r="Q10" s="235" t="s">
        <v>117</v>
      </c>
      <c r="R10" s="234" t="s">
        <v>108</v>
      </c>
      <c r="S10" s="234" t="s">
        <v>108</v>
      </c>
      <c r="T10" s="234" t="s">
        <v>116</v>
      </c>
      <c r="U10" s="234" t="s">
        <v>116</v>
      </c>
      <c r="V10" s="342">
        <v>60</v>
      </c>
      <c r="W10" s="234" t="s">
        <v>116</v>
      </c>
      <c r="X10" s="235" t="s">
        <v>117</v>
      </c>
      <c r="Y10" s="235" t="s">
        <v>117</v>
      </c>
      <c r="Z10" s="234" t="s">
        <v>108</v>
      </c>
      <c r="AA10" s="234" t="s">
        <v>108</v>
      </c>
      <c r="AB10" s="234" t="s">
        <v>116</v>
      </c>
      <c r="AC10" s="234" t="s">
        <v>116</v>
      </c>
      <c r="AD10" s="342">
        <v>60</v>
      </c>
      <c r="AE10" s="234" t="s">
        <v>116</v>
      </c>
      <c r="AF10" s="235" t="s">
        <v>117</v>
      </c>
      <c r="AG10" s="235" t="s">
        <v>117</v>
      </c>
      <c r="AH10" s="234" t="s">
        <v>108</v>
      </c>
      <c r="AI10" s="234" t="s">
        <v>108</v>
      </c>
      <c r="AJ10" s="234" t="s">
        <v>116</v>
      </c>
      <c r="AK10" s="234" t="s">
        <v>116</v>
      </c>
      <c r="AL10" s="342">
        <v>60</v>
      </c>
      <c r="AM10" s="316" t="e">
        <f>+#REF!+N10+V10+AL10</f>
        <v>#REF!</v>
      </c>
      <c r="AN10" s="342">
        <v>19</v>
      </c>
    </row>
    <row r="11" spans="2:40">
      <c r="B11" s="132">
        <v>2</v>
      </c>
      <c r="C11" s="891"/>
      <c r="D11" s="894"/>
      <c r="E11" s="413" t="s">
        <v>637</v>
      </c>
      <c r="F11" s="413" t="s">
        <v>638</v>
      </c>
      <c r="G11" s="234" t="s">
        <v>108</v>
      </c>
      <c r="H11" s="234" t="s">
        <v>116</v>
      </c>
      <c r="I11" s="234" t="s">
        <v>116</v>
      </c>
      <c r="J11" s="235" t="s">
        <v>117</v>
      </c>
      <c r="K11" s="235" t="s">
        <v>117</v>
      </c>
      <c r="L11" s="236" t="s">
        <v>108</v>
      </c>
      <c r="M11" s="234" t="s">
        <v>108</v>
      </c>
      <c r="N11" s="342">
        <v>60</v>
      </c>
      <c r="O11" s="234" t="s">
        <v>108</v>
      </c>
      <c r="P11" s="234" t="s">
        <v>116</v>
      </c>
      <c r="Q11" s="234" t="s">
        <v>116</v>
      </c>
      <c r="R11" s="235" t="s">
        <v>117</v>
      </c>
      <c r="S11" s="235" t="s">
        <v>117</v>
      </c>
      <c r="T11" s="236" t="s">
        <v>108</v>
      </c>
      <c r="U11" s="234" t="s">
        <v>108</v>
      </c>
      <c r="V11" s="342">
        <v>60</v>
      </c>
      <c r="W11" s="234" t="s">
        <v>108</v>
      </c>
      <c r="X11" s="234" t="s">
        <v>116</v>
      </c>
      <c r="Y11" s="234" t="s">
        <v>116</v>
      </c>
      <c r="Z11" s="235" t="s">
        <v>117</v>
      </c>
      <c r="AA11" s="235" t="s">
        <v>117</v>
      </c>
      <c r="AB11" s="236" t="s">
        <v>108</v>
      </c>
      <c r="AC11" s="234" t="s">
        <v>108</v>
      </c>
      <c r="AD11" s="342">
        <v>60</v>
      </c>
      <c r="AE11" s="234" t="s">
        <v>108</v>
      </c>
      <c r="AF11" s="234" t="s">
        <v>116</v>
      </c>
      <c r="AG11" s="234" t="s">
        <v>116</v>
      </c>
      <c r="AH11" s="235" t="s">
        <v>117</v>
      </c>
      <c r="AI11" s="235" t="s">
        <v>117</v>
      </c>
      <c r="AJ11" s="236" t="s">
        <v>108</v>
      </c>
      <c r="AK11" s="234" t="s">
        <v>108</v>
      </c>
      <c r="AL11" s="342">
        <v>60</v>
      </c>
      <c r="AM11" s="316" t="e">
        <f>+#REF!+N11+V11+AL11</f>
        <v>#REF!</v>
      </c>
      <c r="AN11" s="342">
        <v>18</v>
      </c>
    </row>
    <row r="12" spans="2:40">
      <c r="B12" s="132">
        <v>3</v>
      </c>
      <c r="C12" s="891"/>
      <c r="D12" s="894"/>
      <c r="E12" s="414" t="s">
        <v>639</v>
      </c>
      <c r="F12" s="412" t="s">
        <v>640</v>
      </c>
      <c r="G12" s="235" t="s">
        <v>117</v>
      </c>
      <c r="H12" s="234" t="s">
        <v>108</v>
      </c>
      <c r="I12" s="234" t="s">
        <v>108</v>
      </c>
      <c r="J12" s="234" t="s">
        <v>116</v>
      </c>
      <c r="K12" s="24" t="s">
        <v>116</v>
      </c>
      <c r="L12" s="133" t="s">
        <v>117</v>
      </c>
      <c r="M12" s="235" t="s">
        <v>117</v>
      </c>
      <c r="N12" s="342">
        <v>60</v>
      </c>
      <c r="O12" s="235" t="s">
        <v>117</v>
      </c>
      <c r="P12" s="234" t="s">
        <v>108</v>
      </c>
      <c r="Q12" s="234" t="s">
        <v>108</v>
      </c>
      <c r="R12" s="234" t="s">
        <v>116</v>
      </c>
      <c r="S12" s="24" t="s">
        <v>116</v>
      </c>
      <c r="T12" s="133" t="s">
        <v>117</v>
      </c>
      <c r="U12" s="235" t="s">
        <v>117</v>
      </c>
      <c r="V12" s="342">
        <v>60</v>
      </c>
      <c r="W12" s="235" t="s">
        <v>117</v>
      </c>
      <c r="X12" s="234" t="s">
        <v>108</v>
      </c>
      <c r="Y12" s="234" t="s">
        <v>108</v>
      </c>
      <c r="Z12" s="234" t="s">
        <v>116</v>
      </c>
      <c r="AA12" s="24" t="s">
        <v>116</v>
      </c>
      <c r="AB12" s="133" t="s">
        <v>117</v>
      </c>
      <c r="AC12" s="235" t="s">
        <v>117</v>
      </c>
      <c r="AD12" s="342">
        <v>60</v>
      </c>
      <c r="AE12" s="235" t="s">
        <v>117</v>
      </c>
      <c r="AF12" s="234" t="s">
        <v>108</v>
      </c>
      <c r="AG12" s="234" t="s">
        <v>108</v>
      </c>
      <c r="AH12" s="234" t="s">
        <v>116</v>
      </c>
      <c r="AI12" s="24" t="s">
        <v>116</v>
      </c>
      <c r="AJ12" s="133" t="s">
        <v>117</v>
      </c>
      <c r="AK12" s="235" t="s">
        <v>117</v>
      </c>
      <c r="AL12" s="342">
        <v>60</v>
      </c>
      <c r="AM12" s="316" t="e">
        <f>+#REF!+N12+V12+AL12</f>
        <v>#REF!</v>
      </c>
      <c r="AN12" s="342">
        <v>19</v>
      </c>
    </row>
    <row r="13" spans="2:40">
      <c r="B13" s="132">
        <v>4</v>
      </c>
      <c r="C13" s="891" t="s">
        <v>633</v>
      </c>
      <c r="D13" s="891" t="s">
        <v>641</v>
      </c>
      <c r="E13" s="412" t="s">
        <v>653</v>
      </c>
      <c r="F13" s="412" t="s">
        <v>654</v>
      </c>
      <c r="G13" s="24" t="s">
        <v>116</v>
      </c>
      <c r="H13" s="12" t="s">
        <v>117</v>
      </c>
      <c r="I13" s="12" t="s">
        <v>117</v>
      </c>
      <c r="J13" s="24" t="s">
        <v>108</v>
      </c>
      <c r="K13" s="24" t="s">
        <v>108</v>
      </c>
      <c r="L13" s="415" t="s">
        <v>116</v>
      </c>
      <c r="M13" s="415" t="s">
        <v>116</v>
      </c>
      <c r="N13" s="342">
        <v>60</v>
      </c>
      <c r="O13" s="24" t="s">
        <v>116</v>
      </c>
      <c r="P13" s="12" t="s">
        <v>117</v>
      </c>
      <c r="Q13" s="12" t="s">
        <v>117</v>
      </c>
      <c r="R13" s="24" t="s">
        <v>108</v>
      </c>
      <c r="S13" s="24" t="s">
        <v>108</v>
      </c>
      <c r="T13" s="415" t="s">
        <v>116</v>
      </c>
      <c r="U13" s="415" t="s">
        <v>116</v>
      </c>
      <c r="V13" s="342">
        <v>60</v>
      </c>
      <c r="W13" s="24" t="s">
        <v>116</v>
      </c>
      <c r="X13" s="12" t="s">
        <v>117</v>
      </c>
      <c r="Y13" s="12" t="s">
        <v>117</v>
      </c>
      <c r="Z13" s="24" t="s">
        <v>108</v>
      </c>
      <c r="AA13" s="24" t="s">
        <v>108</v>
      </c>
      <c r="AB13" s="415" t="s">
        <v>116</v>
      </c>
      <c r="AC13" s="415" t="s">
        <v>116</v>
      </c>
      <c r="AD13" s="342">
        <v>60</v>
      </c>
      <c r="AE13" s="24" t="s">
        <v>116</v>
      </c>
      <c r="AF13" s="12" t="s">
        <v>117</v>
      </c>
      <c r="AG13" s="12" t="s">
        <v>117</v>
      </c>
      <c r="AH13" s="24" t="s">
        <v>108</v>
      </c>
      <c r="AI13" s="24" t="s">
        <v>108</v>
      </c>
      <c r="AJ13" s="415" t="s">
        <v>116</v>
      </c>
      <c r="AK13" s="415" t="s">
        <v>116</v>
      </c>
      <c r="AL13" s="342">
        <v>60</v>
      </c>
      <c r="AM13" s="316" t="e">
        <f>+#REF!+N13+V13+AL13</f>
        <v>#REF!</v>
      </c>
      <c r="AN13" s="342">
        <v>20</v>
      </c>
    </row>
    <row r="14" spans="2:40">
      <c r="B14" s="132">
        <v>5</v>
      </c>
      <c r="C14" s="891"/>
      <c r="D14" s="891"/>
      <c r="E14" s="414" t="s">
        <v>658</v>
      </c>
      <c r="F14" s="414" t="s">
        <v>659</v>
      </c>
      <c r="G14" s="12" t="s">
        <v>117</v>
      </c>
      <c r="H14" s="24" t="s">
        <v>108</v>
      </c>
      <c r="I14" s="24" t="s">
        <v>108</v>
      </c>
      <c r="J14" s="24" t="s">
        <v>116</v>
      </c>
      <c r="K14" s="24" t="s">
        <v>116</v>
      </c>
      <c r="L14" s="242" t="s">
        <v>116</v>
      </c>
      <c r="M14" s="242" t="s">
        <v>116</v>
      </c>
      <c r="N14" s="342">
        <v>72</v>
      </c>
      <c r="O14" s="12" t="s">
        <v>117</v>
      </c>
      <c r="P14" s="24" t="s">
        <v>108</v>
      </c>
      <c r="Q14" s="24" t="s">
        <v>108</v>
      </c>
      <c r="R14" s="24" t="s">
        <v>116</v>
      </c>
      <c r="S14" s="24" t="s">
        <v>116</v>
      </c>
      <c r="T14" s="242" t="s">
        <v>116</v>
      </c>
      <c r="U14" s="242" t="s">
        <v>116</v>
      </c>
      <c r="V14" s="342">
        <v>72</v>
      </c>
      <c r="W14" s="12" t="s">
        <v>117</v>
      </c>
      <c r="X14" s="24" t="s">
        <v>108</v>
      </c>
      <c r="Y14" s="24" t="s">
        <v>108</v>
      </c>
      <c r="Z14" s="24" t="s">
        <v>116</v>
      </c>
      <c r="AA14" s="24" t="s">
        <v>116</v>
      </c>
      <c r="AB14" s="242" t="s">
        <v>116</v>
      </c>
      <c r="AC14" s="242" t="s">
        <v>116</v>
      </c>
      <c r="AD14" s="342">
        <v>60</v>
      </c>
      <c r="AE14" s="12" t="s">
        <v>117</v>
      </c>
      <c r="AF14" s="24" t="s">
        <v>108</v>
      </c>
      <c r="AG14" s="24" t="s">
        <v>108</v>
      </c>
      <c r="AH14" s="24" t="s">
        <v>116</v>
      </c>
      <c r="AI14" s="24" t="s">
        <v>116</v>
      </c>
      <c r="AJ14" s="242" t="s">
        <v>116</v>
      </c>
      <c r="AK14" s="242" t="s">
        <v>116</v>
      </c>
      <c r="AL14" s="342">
        <v>72</v>
      </c>
      <c r="AM14" s="316" t="e">
        <f>+#REF!+N14+V14+AL14</f>
        <v>#REF!</v>
      </c>
      <c r="AN14" s="342">
        <v>20</v>
      </c>
    </row>
    <row r="15" spans="2:40">
      <c r="B15" s="132">
        <v>6</v>
      </c>
      <c r="C15" s="891"/>
      <c r="D15" s="891"/>
      <c r="E15" s="414" t="s">
        <v>656</v>
      </c>
      <c r="F15" s="414" t="s">
        <v>657</v>
      </c>
      <c r="G15" s="11" t="s">
        <v>108</v>
      </c>
      <c r="H15" s="24" t="s">
        <v>116</v>
      </c>
      <c r="I15" s="24" t="s">
        <v>116</v>
      </c>
      <c r="J15" s="12" t="s">
        <v>117</v>
      </c>
      <c r="K15" s="12" t="s">
        <v>117</v>
      </c>
      <c r="L15" s="24" t="s">
        <v>108</v>
      </c>
      <c r="M15" s="24" t="s">
        <v>108</v>
      </c>
      <c r="N15" s="342">
        <v>60</v>
      </c>
      <c r="O15" s="11" t="s">
        <v>108</v>
      </c>
      <c r="P15" s="24" t="s">
        <v>116</v>
      </c>
      <c r="Q15" s="24" t="s">
        <v>116</v>
      </c>
      <c r="R15" s="12" t="s">
        <v>117</v>
      </c>
      <c r="S15" s="12" t="s">
        <v>117</v>
      </c>
      <c r="T15" s="24" t="s">
        <v>108</v>
      </c>
      <c r="U15" s="24" t="s">
        <v>108</v>
      </c>
      <c r="V15" s="342">
        <v>60</v>
      </c>
      <c r="W15" s="11" t="s">
        <v>108</v>
      </c>
      <c r="X15" s="24" t="s">
        <v>116</v>
      </c>
      <c r="Y15" s="24" t="s">
        <v>116</v>
      </c>
      <c r="Z15" s="12" t="s">
        <v>117</v>
      </c>
      <c r="AA15" s="12" t="s">
        <v>117</v>
      </c>
      <c r="AB15" s="24" t="s">
        <v>108</v>
      </c>
      <c r="AC15" s="24" t="s">
        <v>108</v>
      </c>
      <c r="AD15" s="342">
        <v>60</v>
      </c>
      <c r="AE15" s="11" t="s">
        <v>108</v>
      </c>
      <c r="AF15" s="24" t="s">
        <v>116</v>
      </c>
      <c r="AG15" s="24" t="s">
        <v>116</v>
      </c>
      <c r="AH15" s="12" t="s">
        <v>117</v>
      </c>
      <c r="AI15" s="12" t="s">
        <v>117</v>
      </c>
      <c r="AJ15" s="24" t="s">
        <v>108</v>
      </c>
      <c r="AK15" s="24" t="s">
        <v>108</v>
      </c>
      <c r="AL15" s="342">
        <v>60</v>
      </c>
      <c r="AM15" s="316" t="e">
        <f>+#REF!+N15+V15+AL15</f>
        <v>#REF!</v>
      </c>
      <c r="AN15" s="342">
        <v>20</v>
      </c>
    </row>
    <row r="16" spans="2:40">
      <c r="B16" s="132">
        <v>7</v>
      </c>
      <c r="C16" s="891" t="s">
        <v>633</v>
      </c>
      <c r="D16" s="891" t="s">
        <v>645</v>
      </c>
      <c r="E16" s="412" t="s">
        <v>684</v>
      </c>
      <c r="F16" s="412" t="s">
        <v>648</v>
      </c>
      <c r="G16" s="12" t="s">
        <v>117</v>
      </c>
      <c r="H16" s="12" t="s">
        <v>117</v>
      </c>
      <c r="I16" s="24" t="s">
        <v>108</v>
      </c>
      <c r="J16" s="24" t="s">
        <v>116</v>
      </c>
      <c r="K16" s="11" t="s">
        <v>116</v>
      </c>
      <c r="L16" s="24" t="s">
        <v>116</v>
      </c>
      <c r="M16" s="242" t="s">
        <v>116</v>
      </c>
      <c r="N16" s="342">
        <v>60</v>
      </c>
      <c r="O16" s="12" t="s">
        <v>117</v>
      </c>
      <c r="P16" s="12" t="s">
        <v>117</v>
      </c>
      <c r="Q16" s="24" t="s">
        <v>108</v>
      </c>
      <c r="R16" s="24" t="s">
        <v>116</v>
      </c>
      <c r="S16" s="11" t="s">
        <v>116</v>
      </c>
      <c r="T16" s="24" t="s">
        <v>116</v>
      </c>
      <c r="U16" s="242" t="s">
        <v>116</v>
      </c>
      <c r="V16" s="342">
        <v>60</v>
      </c>
      <c r="W16" s="12" t="s">
        <v>117</v>
      </c>
      <c r="X16" s="12" t="s">
        <v>117</v>
      </c>
      <c r="Y16" s="24" t="s">
        <v>108</v>
      </c>
      <c r="Z16" s="24" t="s">
        <v>116</v>
      </c>
      <c r="AA16" s="11" t="s">
        <v>116</v>
      </c>
      <c r="AB16" s="24" t="s">
        <v>116</v>
      </c>
      <c r="AC16" s="242" t="s">
        <v>116</v>
      </c>
      <c r="AD16" s="342">
        <v>60</v>
      </c>
      <c r="AE16" s="12" t="s">
        <v>117</v>
      </c>
      <c r="AF16" s="12" t="s">
        <v>117</v>
      </c>
      <c r="AG16" s="24" t="s">
        <v>108</v>
      </c>
      <c r="AH16" s="24" t="s">
        <v>116</v>
      </c>
      <c r="AI16" s="11" t="s">
        <v>116</v>
      </c>
      <c r="AJ16" s="24" t="s">
        <v>116</v>
      </c>
      <c r="AK16" s="242" t="s">
        <v>116</v>
      </c>
      <c r="AL16" s="342">
        <v>60</v>
      </c>
      <c r="AM16" s="316" t="e">
        <f>+#REF!+N16+V16+AL16</f>
        <v>#REF!</v>
      </c>
      <c r="AN16" s="342">
        <v>20</v>
      </c>
    </row>
    <row r="17" spans="1:40">
      <c r="B17" s="132">
        <v>8</v>
      </c>
      <c r="C17" s="891"/>
      <c r="D17" s="891"/>
      <c r="E17" s="412" t="s">
        <v>707</v>
      </c>
      <c r="F17" s="412" t="s">
        <v>708</v>
      </c>
      <c r="G17" s="24" t="s">
        <v>108</v>
      </c>
      <c r="H17" s="24" t="s">
        <v>108</v>
      </c>
      <c r="I17" s="237" t="s">
        <v>117</v>
      </c>
      <c r="J17" s="237" t="s">
        <v>117</v>
      </c>
      <c r="K17" s="24" t="s">
        <v>108</v>
      </c>
      <c r="L17" s="238" t="s">
        <v>108</v>
      </c>
      <c r="M17" s="238" t="s">
        <v>108</v>
      </c>
      <c r="N17" s="342">
        <v>60</v>
      </c>
      <c r="O17" s="24" t="s">
        <v>108</v>
      </c>
      <c r="P17" s="24" t="s">
        <v>108</v>
      </c>
      <c r="Q17" s="237" t="s">
        <v>117</v>
      </c>
      <c r="R17" s="237" t="s">
        <v>117</v>
      </c>
      <c r="S17" s="24" t="s">
        <v>108</v>
      </c>
      <c r="T17" s="238" t="s">
        <v>108</v>
      </c>
      <c r="U17" s="238" t="s">
        <v>108</v>
      </c>
      <c r="V17" s="342">
        <v>60</v>
      </c>
      <c r="W17" s="24" t="s">
        <v>108</v>
      </c>
      <c r="X17" s="24" t="s">
        <v>108</v>
      </c>
      <c r="Y17" s="237" t="s">
        <v>117</v>
      </c>
      <c r="Z17" s="237" t="s">
        <v>117</v>
      </c>
      <c r="AA17" s="24" t="s">
        <v>108</v>
      </c>
      <c r="AB17" s="238" t="s">
        <v>108</v>
      </c>
      <c r="AC17" s="238" t="s">
        <v>108</v>
      </c>
      <c r="AD17" s="342">
        <v>60</v>
      </c>
      <c r="AE17" s="24" t="s">
        <v>108</v>
      </c>
      <c r="AF17" s="24" t="s">
        <v>108</v>
      </c>
      <c r="AG17" s="237" t="s">
        <v>117</v>
      </c>
      <c r="AH17" s="237" t="s">
        <v>117</v>
      </c>
      <c r="AI17" s="24" t="s">
        <v>108</v>
      </c>
      <c r="AJ17" s="238" t="s">
        <v>108</v>
      </c>
      <c r="AK17" s="238" t="s">
        <v>108</v>
      </c>
      <c r="AL17" s="342">
        <v>60</v>
      </c>
      <c r="AM17" s="316" t="e">
        <f>+#REF!+N17+V17+AL17</f>
        <v>#REF!</v>
      </c>
      <c r="AN17" s="342">
        <v>20</v>
      </c>
    </row>
    <row r="18" spans="1:40">
      <c r="B18" s="132">
        <v>9</v>
      </c>
      <c r="C18" s="891"/>
      <c r="D18" s="891"/>
      <c r="E18" s="414" t="s">
        <v>709</v>
      </c>
      <c r="F18" s="414" t="s">
        <v>710</v>
      </c>
      <c r="G18" s="24" t="s">
        <v>108</v>
      </c>
      <c r="H18" s="24" t="s">
        <v>116</v>
      </c>
      <c r="I18" s="24" t="s">
        <v>116</v>
      </c>
      <c r="J18" s="24" t="s">
        <v>116</v>
      </c>
      <c r="K18" s="133" t="s">
        <v>117</v>
      </c>
      <c r="L18" s="12" t="s">
        <v>117</v>
      </c>
      <c r="M18" s="24" t="s">
        <v>108</v>
      </c>
      <c r="N18" s="342">
        <v>60</v>
      </c>
      <c r="O18" s="24" t="s">
        <v>108</v>
      </c>
      <c r="P18" s="24" t="s">
        <v>116</v>
      </c>
      <c r="Q18" s="24" t="s">
        <v>116</v>
      </c>
      <c r="R18" s="24" t="s">
        <v>116</v>
      </c>
      <c r="S18" s="133" t="s">
        <v>117</v>
      </c>
      <c r="T18" s="12" t="s">
        <v>117</v>
      </c>
      <c r="U18" s="24" t="s">
        <v>108</v>
      </c>
      <c r="V18" s="342">
        <v>60</v>
      </c>
      <c r="W18" s="24" t="s">
        <v>108</v>
      </c>
      <c r="X18" s="24" t="s">
        <v>116</v>
      </c>
      <c r="Y18" s="24" t="s">
        <v>116</v>
      </c>
      <c r="Z18" s="24" t="s">
        <v>116</v>
      </c>
      <c r="AA18" s="133" t="s">
        <v>117</v>
      </c>
      <c r="AB18" s="12" t="s">
        <v>117</v>
      </c>
      <c r="AC18" s="24" t="s">
        <v>108</v>
      </c>
      <c r="AD18" s="342">
        <v>60</v>
      </c>
      <c r="AE18" s="24" t="s">
        <v>108</v>
      </c>
      <c r="AF18" s="24" t="s">
        <v>116</v>
      </c>
      <c r="AG18" s="24" t="s">
        <v>116</v>
      </c>
      <c r="AH18" s="24" t="s">
        <v>116</v>
      </c>
      <c r="AI18" s="133" t="s">
        <v>117</v>
      </c>
      <c r="AJ18" s="12" t="s">
        <v>117</v>
      </c>
      <c r="AK18" s="24" t="s">
        <v>108</v>
      </c>
      <c r="AL18" s="342">
        <v>60</v>
      </c>
      <c r="AM18" s="316" t="e">
        <f>+#REF!+N18+V18+AL18</f>
        <v>#REF!</v>
      </c>
      <c r="AN18" s="342">
        <v>20</v>
      </c>
    </row>
    <row r="19" spans="1:40">
      <c r="B19" s="132">
        <v>10</v>
      </c>
      <c r="C19" s="891" t="s">
        <v>633</v>
      </c>
      <c r="D19" s="874" t="s">
        <v>649</v>
      </c>
      <c r="E19" s="414" t="s">
        <v>788</v>
      </c>
      <c r="F19" s="414" t="s">
        <v>789</v>
      </c>
      <c r="G19" s="237" t="s">
        <v>117</v>
      </c>
      <c r="H19" s="237" t="s">
        <v>117</v>
      </c>
      <c r="I19" s="24" t="s">
        <v>162</v>
      </c>
      <c r="J19" s="24" t="s">
        <v>162</v>
      </c>
      <c r="K19" s="24" t="s">
        <v>162</v>
      </c>
      <c r="L19" s="24" t="s">
        <v>162</v>
      </c>
      <c r="M19" s="24" t="s">
        <v>162</v>
      </c>
      <c r="N19" s="416">
        <v>40</v>
      </c>
      <c r="O19" s="237" t="s">
        <v>117</v>
      </c>
      <c r="P19" s="237" t="s">
        <v>117</v>
      </c>
      <c r="Q19" s="24" t="s">
        <v>162</v>
      </c>
      <c r="R19" s="24" t="s">
        <v>162</v>
      </c>
      <c r="S19" s="24" t="s">
        <v>162</v>
      </c>
      <c r="T19" s="24" t="s">
        <v>162</v>
      </c>
      <c r="U19" s="24" t="s">
        <v>162</v>
      </c>
      <c r="V19" s="416">
        <v>40</v>
      </c>
      <c r="W19" s="237" t="s">
        <v>117</v>
      </c>
      <c r="X19" s="237" t="s">
        <v>117</v>
      </c>
      <c r="Y19" s="24" t="s">
        <v>162</v>
      </c>
      <c r="Z19" s="24" t="s">
        <v>162</v>
      </c>
      <c r="AA19" s="24" t="s">
        <v>162</v>
      </c>
      <c r="AB19" s="24" t="s">
        <v>162</v>
      </c>
      <c r="AC19" s="24" t="s">
        <v>162</v>
      </c>
      <c r="AD19" s="416">
        <v>40</v>
      </c>
      <c r="AE19" s="237" t="s">
        <v>117</v>
      </c>
      <c r="AF19" s="237" t="s">
        <v>117</v>
      </c>
      <c r="AG19" s="24" t="s">
        <v>162</v>
      </c>
      <c r="AH19" s="24" t="s">
        <v>162</v>
      </c>
      <c r="AI19" s="24" t="s">
        <v>162</v>
      </c>
      <c r="AJ19" s="24" t="s">
        <v>162</v>
      </c>
      <c r="AK19" s="24" t="s">
        <v>162</v>
      </c>
      <c r="AL19" s="416">
        <v>40</v>
      </c>
      <c r="AM19" s="316" t="e">
        <f>+#REF!+N19+V19+AL19</f>
        <v>#REF!</v>
      </c>
      <c r="AN19" s="342">
        <v>20</v>
      </c>
    </row>
    <row r="20" spans="1:40">
      <c r="B20" s="132">
        <v>11</v>
      </c>
      <c r="C20" s="891"/>
      <c r="D20" s="874"/>
      <c r="E20" s="414" t="s">
        <v>650</v>
      </c>
      <c r="F20" s="414" t="s">
        <v>651</v>
      </c>
      <c r="G20" s="24" t="s">
        <v>159</v>
      </c>
      <c r="H20" s="24" t="s">
        <v>159</v>
      </c>
      <c r="I20" s="24" t="s">
        <v>159</v>
      </c>
      <c r="J20" s="24" t="s">
        <v>159</v>
      </c>
      <c r="K20" s="237" t="s">
        <v>117</v>
      </c>
      <c r="L20" s="24" t="s">
        <v>159</v>
      </c>
      <c r="M20" s="24" t="s">
        <v>159</v>
      </c>
      <c r="N20" s="417">
        <v>48</v>
      </c>
      <c r="O20" s="24" t="s">
        <v>159</v>
      </c>
      <c r="P20" s="24" t="s">
        <v>159</v>
      </c>
      <c r="Q20" s="24" t="s">
        <v>159</v>
      </c>
      <c r="R20" s="24" t="s">
        <v>159</v>
      </c>
      <c r="S20" s="237" t="s">
        <v>117</v>
      </c>
      <c r="T20" s="24" t="s">
        <v>159</v>
      </c>
      <c r="U20" s="24" t="s">
        <v>159</v>
      </c>
      <c r="V20" s="417">
        <v>48</v>
      </c>
      <c r="W20" s="24" t="s">
        <v>159</v>
      </c>
      <c r="X20" s="24" t="s">
        <v>159</v>
      </c>
      <c r="Y20" s="24" t="s">
        <v>159</v>
      </c>
      <c r="Z20" s="24" t="s">
        <v>159</v>
      </c>
      <c r="AA20" s="237" t="s">
        <v>117</v>
      </c>
      <c r="AB20" s="24" t="s">
        <v>159</v>
      </c>
      <c r="AC20" s="24" t="s">
        <v>159</v>
      </c>
      <c r="AD20" s="417">
        <v>48</v>
      </c>
      <c r="AE20" s="24" t="s">
        <v>159</v>
      </c>
      <c r="AF20" s="24" t="s">
        <v>159</v>
      </c>
      <c r="AG20" s="24" t="s">
        <v>159</v>
      </c>
      <c r="AH20" s="24" t="s">
        <v>159</v>
      </c>
      <c r="AI20" s="237" t="s">
        <v>117</v>
      </c>
      <c r="AJ20" s="24" t="s">
        <v>159</v>
      </c>
      <c r="AK20" s="24" t="s">
        <v>159</v>
      </c>
      <c r="AL20" s="417">
        <v>48</v>
      </c>
      <c r="AM20" s="316" t="e">
        <f>+#REF!+N20+V20+AL20</f>
        <v>#REF!</v>
      </c>
      <c r="AN20" s="342">
        <v>24</v>
      </c>
    </row>
    <row r="21" spans="1:40">
      <c r="B21" s="132">
        <v>12</v>
      </c>
      <c r="C21" s="367"/>
      <c r="D21" s="198"/>
      <c r="E21" s="412" t="s">
        <v>711</v>
      </c>
      <c r="F21" s="412" t="s">
        <v>712</v>
      </c>
      <c r="G21" s="238" t="s">
        <v>162</v>
      </c>
      <c r="H21" s="238" t="s">
        <v>162</v>
      </c>
      <c r="I21" s="12" t="s">
        <v>117</v>
      </c>
      <c r="J21" s="12" t="s">
        <v>117</v>
      </c>
      <c r="K21" s="418" t="s">
        <v>159</v>
      </c>
      <c r="L21" s="24" t="s">
        <v>108</v>
      </c>
      <c r="M21" s="24" t="s">
        <v>108</v>
      </c>
      <c r="N21" s="342">
        <v>48</v>
      </c>
      <c r="O21" s="238" t="s">
        <v>162</v>
      </c>
      <c r="P21" s="238" t="s">
        <v>162</v>
      </c>
      <c r="Q21" s="12" t="s">
        <v>117</v>
      </c>
      <c r="R21" s="12" t="s">
        <v>117</v>
      </c>
      <c r="S21" s="418" t="s">
        <v>159</v>
      </c>
      <c r="T21" s="24" t="s">
        <v>108</v>
      </c>
      <c r="U21" s="24" t="s">
        <v>108</v>
      </c>
      <c r="V21" s="342">
        <v>48</v>
      </c>
      <c r="W21" s="238" t="s">
        <v>162</v>
      </c>
      <c r="X21" s="238" t="s">
        <v>162</v>
      </c>
      <c r="Y21" s="12" t="s">
        <v>117</v>
      </c>
      <c r="Z21" s="12" t="s">
        <v>117</v>
      </c>
      <c r="AA21" s="418" t="s">
        <v>159</v>
      </c>
      <c r="AB21" s="24" t="s">
        <v>108</v>
      </c>
      <c r="AC21" s="24" t="s">
        <v>108</v>
      </c>
      <c r="AD21" s="342">
        <v>48</v>
      </c>
      <c r="AE21" s="238" t="s">
        <v>162</v>
      </c>
      <c r="AF21" s="238" t="s">
        <v>162</v>
      </c>
      <c r="AG21" s="12" t="s">
        <v>117</v>
      </c>
      <c r="AH21" s="12" t="s">
        <v>117</v>
      </c>
      <c r="AI21" s="418" t="s">
        <v>159</v>
      </c>
      <c r="AJ21" s="24" t="s">
        <v>108</v>
      </c>
      <c r="AK21" s="24" t="s">
        <v>108</v>
      </c>
      <c r="AL21" s="342">
        <v>48</v>
      </c>
      <c r="AM21" s="316" t="e">
        <f>+#REF!+N21+V21+AL21</f>
        <v>#REF!</v>
      </c>
      <c r="AN21" s="342">
        <v>20</v>
      </c>
    </row>
    <row r="22" spans="1:40">
      <c r="B22" s="132">
        <v>13</v>
      </c>
      <c r="C22" s="891" t="s">
        <v>633</v>
      </c>
      <c r="D22" s="891" t="s">
        <v>655</v>
      </c>
      <c r="E22" s="414" t="s">
        <v>643</v>
      </c>
      <c r="F22" s="414" t="s">
        <v>644</v>
      </c>
      <c r="G22" s="24" t="s">
        <v>116</v>
      </c>
      <c r="H22" s="24" t="s">
        <v>116</v>
      </c>
      <c r="I22" s="24" t="s">
        <v>116</v>
      </c>
      <c r="J22" s="12" t="s">
        <v>117</v>
      </c>
      <c r="K22" s="12" t="s">
        <v>117</v>
      </c>
      <c r="L22" s="238" t="s">
        <v>108</v>
      </c>
      <c r="M22" s="238" t="s">
        <v>108</v>
      </c>
      <c r="N22" s="342">
        <v>60</v>
      </c>
      <c r="O22" s="24" t="s">
        <v>116</v>
      </c>
      <c r="P22" s="24" t="s">
        <v>116</v>
      </c>
      <c r="Q22" s="24" t="s">
        <v>116</v>
      </c>
      <c r="R22" s="12" t="s">
        <v>117</v>
      </c>
      <c r="S22" s="12" t="s">
        <v>117</v>
      </c>
      <c r="T22" s="238" t="s">
        <v>108</v>
      </c>
      <c r="U22" s="238" t="s">
        <v>108</v>
      </c>
      <c r="V22" s="342">
        <v>60</v>
      </c>
      <c r="W22" s="24" t="s">
        <v>116</v>
      </c>
      <c r="X22" s="24" t="s">
        <v>116</v>
      </c>
      <c r="Y22" s="24" t="s">
        <v>116</v>
      </c>
      <c r="Z22" s="12" t="s">
        <v>117</v>
      </c>
      <c r="AA22" s="12" t="s">
        <v>117</v>
      </c>
      <c r="AB22" s="238" t="s">
        <v>108</v>
      </c>
      <c r="AC22" s="238" t="s">
        <v>108</v>
      </c>
      <c r="AD22" s="342">
        <v>60</v>
      </c>
      <c r="AE22" s="24" t="s">
        <v>116</v>
      </c>
      <c r="AF22" s="24" t="s">
        <v>116</v>
      </c>
      <c r="AG22" s="24" t="s">
        <v>116</v>
      </c>
      <c r="AH22" s="12" t="s">
        <v>117</v>
      </c>
      <c r="AI22" s="12" t="s">
        <v>117</v>
      </c>
      <c r="AJ22" s="238" t="s">
        <v>108</v>
      </c>
      <c r="AK22" s="238" t="s">
        <v>108</v>
      </c>
      <c r="AL22" s="342">
        <v>60</v>
      </c>
      <c r="AM22" s="316" t="e">
        <f>+#REF!+N22+V22+AL22</f>
        <v>#REF!</v>
      </c>
      <c r="AN22" s="342">
        <v>20</v>
      </c>
    </row>
    <row r="23" spans="1:40">
      <c r="B23" s="132">
        <v>14</v>
      </c>
      <c r="C23" s="891"/>
      <c r="D23" s="891"/>
      <c r="E23" s="414" t="s">
        <v>642</v>
      </c>
      <c r="F23" s="414" t="s">
        <v>683</v>
      </c>
      <c r="G23" s="237" t="s">
        <v>117</v>
      </c>
      <c r="H23" s="24" t="s">
        <v>108</v>
      </c>
      <c r="I23" s="24" t="s">
        <v>108</v>
      </c>
      <c r="J23" s="24" t="s">
        <v>108</v>
      </c>
      <c r="K23" s="24" t="s">
        <v>116</v>
      </c>
      <c r="L23" s="24" t="s">
        <v>116</v>
      </c>
      <c r="M23" s="419" t="s">
        <v>117</v>
      </c>
      <c r="N23" s="342">
        <v>60</v>
      </c>
      <c r="O23" s="237" t="s">
        <v>117</v>
      </c>
      <c r="P23" s="24" t="s">
        <v>108</v>
      </c>
      <c r="Q23" s="24" t="s">
        <v>108</v>
      </c>
      <c r="R23" s="24" t="s">
        <v>108</v>
      </c>
      <c r="S23" s="24" t="s">
        <v>116</v>
      </c>
      <c r="T23" s="24" t="s">
        <v>116</v>
      </c>
      <c r="U23" s="419" t="s">
        <v>117</v>
      </c>
      <c r="V23" s="342">
        <v>72</v>
      </c>
      <c r="W23" s="237" t="s">
        <v>117</v>
      </c>
      <c r="X23" s="24" t="s">
        <v>108</v>
      </c>
      <c r="Y23" s="24" t="s">
        <v>108</v>
      </c>
      <c r="Z23" s="24" t="s">
        <v>108</v>
      </c>
      <c r="AA23" s="24" t="s">
        <v>116</v>
      </c>
      <c r="AB23" s="24" t="s">
        <v>116</v>
      </c>
      <c r="AC23" s="419" t="s">
        <v>117</v>
      </c>
      <c r="AD23" s="342">
        <v>72</v>
      </c>
      <c r="AE23" s="237" t="s">
        <v>117</v>
      </c>
      <c r="AF23" s="24" t="s">
        <v>108</v>
      </c>
      <c r="AG23" s="24" t="s">
        <v>108</v>
      </c>
      <c r="AH23" s="24" t="s">
        <v>108</v>
      </c>
      <c r="AI23" s="24" t="s">
        <v>116</v>
      </c>
      <c r="AJ23" s="24" t="s">
        <v>116</v>
      </c>
      <c r="AK23" s="419" t="s">
        <v>117</v>
      </c>
      <c r="AL23" s="342">
        <v>72</v>
      </c>
      <c r="AM23" s="316" t="e">
        <f>+#REF!+N23+V23+AL23</f>
        <v>#REF!</v>
      </c>
      <c r="AN23" s="342">
        <v>24</v>
      </c>
    </row>
    <row r="24" spans="1:40">
      <c r="B24" s="132">
        <v>15</v>
      </c>
      <c r="C24" s="420" t="s">
        <v>660</v>
      </c>
      <c r="D24" s="420" t="s">
        <v>661</v>
      </c>
      <c r="E24" s="412" t="s">
        <v>652</v>
      </c>
      <c r="F24" s="412" t="s">
        <v>713</v>
      </c>
      <c r="G24" s="24" t="s">
        <v>108</v>
      </c>
      <c r="H24" s="24" t="s">
        <v>108</v>
      </c>
      <c r="I24" s="24" t="s">
        <v>108</v>
      </c>
      <c r="J24" s="24" t="s">
        <v>108</v>
      </c>
      <c r="K24" s="24" t="s">
        <v>108</v>
      </c>
      <c r="L24" s="12" t="s">
        <v>117</v>
      </c>
      <c r="M24" s="12" t="s">
        <v>117</v>
      </c>
      <c r="N24" s="342">
        <v>60</v>
      </c>
      <c r="O24" s="24" t="s">
        <v>108</v>
      </c>
      <c r="P24" s="24" t="s">
        <v>108</v>
      </c>
      <c r="Q24" s="24" t="s">
        <v>108</v>
      </c>
      <c r="R24" s="24" t="s">
        <v>108</v>
      </c>
      <c r="S24" s="24" t="s">
        <v>108</v>
      </c>
      <c r="T24" s="12" t="s">
        <v>117</v>
      </c>
      <c r="U24" s="12" t="s">
        <v>117</v>
      </c>
      <c r="V24" s="342">
        <v>60</v>
      </c>
      <c r="W24" s="24" t="s">
        <v>108</v>
      </c>
      <c r="X24" s="24" t="s">
        <v>108</v>
      </c>
      <c r="Y24" s="24" t="s">
        <v>108</v>
      </c>
      <c r="Z24" s="24" t="s">
        <v>108</v>
      </c>
      <c r="AA24" s="24" t="s">
        <v>108</v>
      </c>
      <c r="AB24" s="12" t="s">
        <v>117</v>
      </c>
      <c r="AC24" s="12" t="s">
        <v>117</v>
      </c>
      <c r="AD24" s="342">
        <v>60</v>
      </c>
      <c r="AE24" s="24" t="s">
        <v>108</v>
      </c>
      <c r="AF24" s="24" t="s">
        <v>108</v>
      </c>
      <c r="AG24" s="24" t="s">
        <v>108</v>
      </c>
      <c r="AH24" s="24" t="s">
        <v>108</v>
      </c>
      <c r="AI24" s="24" t="s">
        <v>108</v>
      </c>
      <c r="AJ24" s="12" t="s">
        <v>117</v>
      </c>
      <c r="AK24" s="12" t="s">
        <v>117</v>
      </c>
      <c r="AL24" s="342">
        <v>60</v>
      </c>
      <c r="AM24" s="316" t="e">
        <f>+#REF!+N24+V24+AL24</f>
        <v>#REF!</v>
      </c>
      <c r="AN24" s="342">
        <v>20</v>
      </c>
    </row>
    <row r="25" spans="1:40">
      <c r="B25" s="132">
        <v>16</v>
      </c>
      <c r="C25" s="420" t="s">
        <v>660</v>
      </c>
      <c r="D25" s="420" t="s">
        <v>662</v>
      </c>
      <c r="E25" s="421" t="s">
        <v>685</v>
      </c>
      <c r="F25" s="421" t="s">
        <v>663</v>
      </c>
      <c r="G25" s="24" t="s">
        <v>108</v>
      </c>
      <c r="H25" s="24" t="s">
        <v>108</v>
      </c>
      <c r="I25" s="24" t="s">
        <v>108</v>
      </c>
      <c r="J25" s="24" t="s">
        <v>108</v>
      </c>
      <c r="K25" s="24" t="s">
        <v>108</v>
      </c>
      <c r="L25" s="12" t="s">
        <v>117</v>
      </c>
      <c r="M25" s="12" t="s">
        <v>117</v>
      </c>
      <c r="N25" s="342">
        <v>60</v>
      </c>
      <c r="O25" s="24" t="s">
        <v>108</v>
      </c>
      <c r="P25" s="24" t="s">
        <v>108</v>
      </c>
      <c r="Q25" s="24" t="s">
        <v>108</v>
      </c>
      <c r="R25" s="24" t="s">
        <v>108</v>
      </c>
      <c r="S25" s="24" t="s">
        <v>108</v>
      </c>
      <c r="T25" s="12" t="s">
        <v>117</v>
      </c>
      <c r="U25" s="12" t="s">
        <v>117</v>
      </c>
      <c r="V25" s="342">
        <v>60</v>
      </c>
      <c r="W25" s="24" t="s">
        <v>108</v>
      </c>
      <c r="X25" s="24" t="s">
        <v>108</v>
      </c>
      <c r="Y25" s="24" t="s">
        <v>108</v>
      </c>
      <c r="Z25" s="24" t="s">
        <v>108</v>
      </c>
      <c r="AA25" s="24" t="s">
        <v>108</v>
      </c>
      <c r="AB25" s="12" t="s">
        <v>117</v>
      </c>
      <c r="AC25" s="12" t="s">
        <v>117</v>
      </c>
      <c r="AD25" s="342">
        <v>60</v>
      </c>
      <c r="AE25" s="24" t="s">
        <v>108</v>
      </c>
      <c r="AF25" s="24" t="s">
        <v>108</v>
      </c>
      <c r="AG25" s="24" t="s">
        <v>108</v>
      </c>
      <c r="AH25" s="24" t="s">
        <v>108</v>
      </c>
      <c r="AI25" s="24" t="s">
        <v>108</v>
      </c>
      <c r="AJ25" s="12" t="s">
        <v>117</v>
      </c>
      <c r="AK25" s="12" t="s">
        <v>117</v>
      </c>
      <c r="AL25" s="342">
        <v>60</v>
      </c>
      <c r="AM25" s="316" t="e">
        <f>+#REF!+N25+V25+AL25</f>
        <v>#REF!</v>
      </c>
      <c r="AN25" s="342">
        <v>20</v>
      </c>
    </row>
    <row r="26" spans="1:40">
      <c r="B26" s="132">
        <v>17</v>
      </c>
      <c r="C26" s="891" t="s">
        <v>633</v>
      </c>
      <c r="D26" s="198" t="s">
        <v>348</v>
      </c>
      <c r="E26" s="414" t="s">
        <v>646</v>
      </c>
      <c r="F26" s="414" t="s">
        <v>647</v>
      </c>
      <c r="G26" s="24" t="s">
        <v>116</v>
      </c>
      <c r="H26" s="12" t="s">
        <v>117</v>
      </c>
      <c r="I26" s="12" t="s">
        <v>117</v>
      </c>
      <c r="J26" s="24" t="s">
        <v>108</v>
      </c>
      <c r="K26" s="24" t="s">
        <v>108</v>
      </c>
      <c r="L26" s="415" t="s">
        <v>108</v>
      </c>
      <c r="M26" s="415" t="s">
        <v>108</v>
      </c>
      <c r="N26" s="417">
        <f>6*8</f>
        <v>48</v>
      </c>
      <c r="O26" s="24" t="s">
        <v>116</v>
      </c>
      <c r="P26" s="12" t="s">
        <v>117</v>
      </c>
      <c r="Q26" s="12" t="s">
        <v>117</v>
      </c>
      <c r="R26" s="24" t="s">
        <v>108</v>
      </c>
      <c r="S26" s="24" t="s">
        <v>108</v>
      </c>
      <c r="T26" s="415" t="s">
        <v>108</v>
      </c>
      <c r="U26" s="415" t="s">
        <v>108</v>
      </c>
      <c r="V26" s="417">
        <f>6*8</f>
        <v>48</v>
      </c>
      <c r="W26" s="24" t="s">
        <v>116</v>
      </c>
      <c r="X26" s="12" t="s">
        <v>117</v>
      </c>
      <c r="Y26" s="12" t="s">
        <v>117</v>
      </c>
      <c r="Z26" s="24" t="s">
        <v>108</v>
      </c>
      <c r="AA26" s="24" t="s">
        <v>108</v>
      </c>
      <c r="AB26" s="415" t="s">
        <v>108</v>
      </c>
      <c r="AC26" s="415" t="s">
        <v>108</v>
      </c>
      <c r="AD26" s="417">
        <f>6*8</f>
        <v>48</v>
      </c>
      <c r="AE26" s="24" t="s">
        <v>116</v>
      </c>
      <c r="AF26" s="12" t="s">
        <v>117</v>
      </c>
      <c r="AG26" s="12" t="s">
        <v>117</v>
      </c>
      <c r="AH26" s="24" t="s">
        <v>108</v>
      </c>
      <c r="AI26" s="24" t="s">
        <v>108</v>
      </c>
      <c r="AJ26" s="415" t="s">
        <v>108</v>
      </c>
      <c r="AK26" s="415" t="s">
        <v>108</v>
      </c>
      <c r="AL26" s="417">
        <f>6*8</f>
        <v>48</v>
      </c>
      <c r="AM26" s="316" t="e">
        <f>+#REF!+N26+V26+AL26</f>
        <v>#REF!</v>
      </c>
      <c r="AN26" s="342">
        <v>20</v>
      </c>
    </row>
    <row r="27" spans="1:40">
      <c r="B27" s="132">
        <v>18</v>
      </c>
      <c r="C27" s="891"/>
      <c r="D27" s="198" t="s">
        <v>664</v>
      </c>
      <c r="E27" s="414" t="s">
        <v>665</v>
      </c>
      <c r="F27" s="414" t="s">
        <v>666</v>
      </c>
      <c r="G27" s="24" t="s">
        <v>116</v>
      </c>
      <c r="H27" s="24" t="s">
        <v>116</v>
      </c>
      <c r="I27" s="24" t="s">
        <v>116</v>
      </c>
      <c r="J27" s="24" t="s">
        <v>116</v>
      </c>
      <c r="K27" s="24" t="s">
        <v>116</v>
      </c>
      <c r="L27" s="12" t="s">
        <v>117</v>
      </c>
      <c r="M27" s="12" t="s">
        <v>117</v>
      </c>
      <c r="N27" s="342">
        <v>60</v>
      </c>
      <c r="O27" s="24" t="s">
        <v>116</v>
      </c>
      <c r="P27" s="24" t="s">
        <v>116</v>
      </c>
      <c r="Q27" s="24" t="s">
        <v>116</v>
      </c>
      <c r="R27" s="24" t="s">
        <v>116</v>
      </c>
      <c r="S27" s="24" t="s">
        <v>116</v>
      </c>
      <c r="T27" s="12" t="s">
        <v>117</v>
      </c>
      <c r="U27" s="12" t="s">
        <v>117</v>
      </c>
      <c r="V27" s="342">
        <v>60</v>
      </c>
      <c r="W27" s="24" t="s">
        <v>116</v>
      </c>
      <c r="X27" s="24" t="s">
        <v>116</v>
      </c>
      <c r="Y27" s="24" t="s">
        <v>116</v>
      </c>
      <c r="Z27" s="24" t="s">
        <v>116</v>
      </c>
      <c r="AA27" s="24" t="s">
        <v>116</v>
      </c>
      <c r="AB27" s="12" t="s">
        <v>117</v>
      </c>
      <c r="AC27" s="12" t="s">
        <v>117</v>
      </c>
      <c r="AD27" s="342">
        <v>60</v>
      </c>
      <c r="AE27" s="24" t="s">
        <v>116</v>
      </c>
      <c r="AF27" s="24" t="s">
        <v>116</v>
      </c>
      <c r="AG27" s="24" t="s">
        <v>116</v>
      </c>
      <c r="AH27" s="24" t="s">
        <v>116</v>
      </c>
      <c r="AI27" s="24" t="s">
        <v>116</v>
      </c>
      <c r="AJ27" s="12" t="s">
        <v>117</v>
      </c>
      <c r="AK27" s="12" t="s">
        <v>117</v>
      </c>
      <c r="AL27" s="342">
        <v>60</v>
      </c>
      <c r="AM27" s="316" t="e">
        <f>+#REF!+N27+V27+AL27</f>
        <v>#REF!</v>
      </c>
      <c r="AN27" s="342">
        <v>20</v>
      </c>
    </row>
    <row r="28" spans="1:40">
      <c r="B28" s="132">
        <v>19</v>
      </c>
      <c r="C28" s="891"/>
      <c r="D28" s="198" t="s">
        <v>616</v>
      </c>
      <c r="E28" s="414" t="s">
        <v>667</v>
      </c>
      <c r="F28" s="414" t="s">
        <v>668</v>
      </c>
      <c r="G28" s="24" t="s">
        <v>108</v>
      </c>
      <c r="H28" s="24" t="s">
        <v>108</v>
      </c>
      <c r="I28" s="24" t="s">
        <v>108</v>
      </c>
      <c r="J28" s="24" t="s">
        <v>108</v>
      </c>
      <c r="K28" s="24" t="s">
        <v>108</v>
      </c>
      <c r="L28" s="12" t="s">
        <v>117</v>
      </c>
      <c r="M28" s="12" t="s">
        <v>117</v>
      </c>
      <c r="N28" s="342">
        <v>60</v>
      </c>
      <c r="O28" s="24" t="s">
        <v>108</v>
      </c>
      <c r="P28" s="24" t="s">
        <v>108</v>
      </c>
      <c r="Q28" s="24" t="s">
        <v>108</v>
      </c>
      <c r="R28" s="24" t="s">
        <v>108</v>
      </c>
      <c r="S28" s="24" t="s">
        <v>108</v>
      </c>
      <c r="T28" s="12" t="s">
        <v>117</v>
      </c>
      <c r="U28" s="12" t="s">
        <v>117</v>
      </c>
      <c r="V28" s="342">
        <v>60</v>
      </c>
      <c r="W28" s="24" t="s">
        <v>108</v>
      </c>
      <c r="X28" s="24" t="s">
        <v>108</v>
      </c>
      <c r="Y28" s="24" t="s">
        <v>108</v>
      </c>
      <c r="Z28" s="24" t="s">
        <v>108</v>
      </c>
      <c r="AA28" s="24" t="s">
        <v>108</v>
      </c>
      <c r="AB28" s="12" t="s">
        <v>117</v>
      </c>
      <c r="AC28" s="12" t="s">
        <v>117</v>
      </c>
      <c r="AD28" s="342">
        <v>60</v>
      </c>
      <c r="AE28" s="24" t="s">
        <v>108</v>
      </c>
      <c r="AF28" s="24" t="s">
        <v>108</v>
      </c>
      <c r="AG28" s="24" t="s">
        <v>108</v>
      </c>
      <c r="AH28" s="24" t="s">
        <v>108</v>
      </c>
      <c r="AI28" s="24" t="s">
        <v>108</v>
      </c>
      <c r="AJ28" s="12" t="s">
        <v>117</v>
      </c>
      <c r="AK28" s="12" t="s">
        <v>117</v>
      </c>
      <c r="AL28" s="342">
        <v>60</v>
      </c>
      <c r="AM28" s="316" t="e">
        <f>+#REF!+N28+V28+AL28</f>
        <v>#REF!</v>
      </c>
      <c r="AN28" s="342">
        <v>20</v>
      </c>
    </row>
    <row r="30" spans="1:40">
      <c r="B30" s="132">
        <v>20</v>
      </c>
      <c r="C30" s="891" t="s">
        <v>633</v>
      </c>
      <c r="D30" s="874" t="s">
        <v>669</v>
      </c>
      <c r="E30" s="436" t="s">
        <v>790</v>
      </c>
      <c r="F30" s="445" t="s">
        <v>791</v>
      </c>
      <c r="G30" s="11" t="s">
        <v>116</v>
      </c>
      <c r="H30" s="242" t="s">
        <v>116</v>
      </c>
      <c r="I30" s="243" t="s">
        <v>117</v>
      </c>
      <c r="J30" s="243" t="s">
        <v>117</v>
      </c>
      <c r="K30" s="242" t="s">
        <v>108</v>
      </c>
      <c r="L30" s="242" t="s">
        <v>108</v>
      </c>
      <c r="M30" s="232" t="s">
        <v>116</v>
      </c>
      <c r="N30" s="342">
        <v>60</v>
      </c>
      <c r="O30" s="11" t="s">
        <v>116</v>
      </c>
      <c r="P30" s="242" t="s">
        <v>116</v>
      </c>
      <c r="Q30" s="243" t="s">
        <v>117</v>
      </c>
      <c r="R30" s="243" t="s">
        <v>117</v>
      </c>
      <c r="S30" s="242" t="s">
        <v>108</v>
      </c>
      <c r="T30" s="242" t="s">
        <v>108</v>
      </c>
      <c r="U30" s="232" t="s">
        <v>116</v>
      </c>
      <c r="V30" s="342">
        <v>60</v>
      </c>
      <c r="W30" s="11" t="s">
        <v>116</v>
      </c>
      <c r="X30" s="242" t="s">
        <v>116</v>
      </c>
      <c r="Y30" s="243" t="s">
        <v>117</v>
      </c>
      <c r="Z30" s="243" t="s">
        <v>117</v>
      </c>
      <c r="AA30" s="242" t="s">
        <v>108</v>
      </c>
      <c r="AB30" s="242" t="s">
        <v>108</v>
      </c>
      <c r="AC30" s="232" t="s">
        <v>116</v>
      </c>
      <c r="AD30" s="342">
        <v>60</v>
      </c>
      <c r="AE30" s="11" t="s">
        <v>116</v>
      </c>
      <c r="AF30" s="242" t="s">
        <v>116</v>
      </c>
      <c r="AG30" s="243" t="s">
        <v>117</v>
      </c>
      <c r="AH30" s="243" t="s">
        <v>117</v>
      </c>
      <c r="AI30" s="242" t="s">
        <v>108</v>
      </c>
      <c r="AJ30" s="242" t="s">
        <v>108</v>
      </c>
      <c r="AK30" s="232" t="s">
        <v>116</v>
      </c>
      <c r="AL30" s="342">
        <v>60</v>
      </c>
      <c r="AM30" s="316" t="e">
        <f>+#REF!+N30+V30+AL30</f>
        <v>#REF!</v>
      </c>
      <c r="AN30" s="342">
        <v>20</v>
      </c>
    </row>
    <row r="31" spans="1:40">
      <c r="A31" s="23"/>
      <c r="B31" s="132">
        <v>21</v>
      </c>
      <c r="C31" s="891"/>
      <c r="D31" s="874"/>
      <c r="E31" s="452" t="s">
        <v>672</v>
      </c>
      <c r="F31" s="452" t="s">
        <v>818</v>
      </c>
      <c r="G31" s="11" t="s">
        <v>108</v>
      </c>
      <c r="H31" s="242" t="s">
        <v>108</v>
      </c>
      <c r="I31" s="242" t="s">
        <v>116</v>
      </c>
      <c r="J31" s="242" t="s">
        <v>116</v>
      </c>
      <c r="K31" s="243" t="s">
        <v>117</v>
      </c>
      <c r="L31" s="243" t="s">
        <v>117</v>
      </c>
      <c r="M31" s="242" t="s">
        <v>108</v>
      </c>
      <c r="N31" s="342">
        <v>60</v>
      </c>
      <c r="O31" s="11" t="s">
        <v>108</v>
      </c>
      <c r="P31" s="242" t="s">
        <v>108</v>
      </c>
      <c r="Q31" s="242" t="s">
        <v>116</v>
      </c>
      <c r="R31" s="242" t="s">
        <v>116</v>
      </c>
      <c r="S31" s="243" t="s">
        <v>117</v>
      </c>
      <c r="T31" s="243" t="s">
        <v>117</v>
      </c>
      <c r="U31" s="242" t="s">
        <v>108</v>
      </c>
      <c r="V31" s="342">
        <v>60</v>
      </c>
      <c r="W31" s="11" t="s">
        <v>108</v>
      </c>
      <c r="X31" s="242" t="s">
        <v>108</v>
      </c>
      <c r="Y31" s="242" t="s">
        <v>116</v>
      </c>
      <c r="Z31" s="242" t="s">
        <v>116</v>
      </c>
      <c r="AA31" s="243" t="s">
        <v>117</v>
      </c>
      <c r="AB31" s="243" t="s">
        <v>117</v>
      </c>
      <c r="AC31" s="242" t="s">
        <v>108</v>
      </c>
      <c r="AD31" s="342">
        <v>60</v>
      </c>
      <c r="AE31" s="11" t="s">
        <v>108</v>
      </c>
      <c r="AF31" s="242" t="s">
        <v>108</v>
      </c>
      <c r="AG31" s="242" t="s">
        <v>116</v>
      </c>
      <c r="AH31" s="242" t="s">
        <v>116</v>
      </c>
      <c r="AI31" s="243" t="s">
        <v>117</v>
      </c>
      <c r="AJ31" s="243" t="s">
        <v>117</v>
      </c>
      <c r="AK31" s="242" t="s">
        <v>108</v>
      </c>
      <c r="AL31" s="342">
        <v>60</v>
      </c>
      <c r="AM31" s="316" t="e">
        <f>+#REF!+N31+V31+AL31</f>
        <v>#REF!</v>
      </c>
      <c r="AN31" s="342">
        <v>20</v>
      </c>
    </row>
    <row r="32" spans="1:40">
      <c r="A32" s="23"/>
      <c r="B32" s="132">
        <v>22</v>
      </c>
      <c r="C32" s="891"/>
      <c r="D32" s="874"/>
      <c r="E32" s="437" t="s">
        <v>808</v>
      </c>
      <c r="F32" s="450" t="s">
        <v>809</v>
      </c>
      <c r="G32" s="243" t="s">
        <v>117</v>
      </c>
      <c r="H32" s="243" t="s">
        <v>117</v>
      </c>
      <c r="I32" s="242" t="s">
        <v>108</v>
      </c>
      <c r="J32" s="242" t="s">
        <v>108</v>
      </c>
      <c r="K32" s="242" t="s">
        <v>116</v>
      </c>
      <c r="L32" s="242" t="s">
        <v>116</v>
      </c>
      <c r="M32" s="242" t="s">
        <v>116</v>
      </c>
      <c r="N32" s="342">
        <v>60</v>
      </c>
      <c r="O32" s="243" t="s">
        <v>117</v>
      </c>
      <c r="P32" s="243" t="s">
        <v>117</v>
      </c>
      <c r="Q32" s="242" t="s">
        <v>108</v>
      </c>
      <c r="R32" s="242" t="s">
        <v>108</v>
      </c>
      <c r="S32" s="242" t="s">
        <v>116</v>
      </c>
      <c r="T32" s="242" t="s">
        <v>116</v>
      </c>
      <c r="U32" s="242" t="s">
        <v>116</v>
      </c>
      <c r="V32" s="342">
        <v>60</v>
      </c>
      <c r="W32" s="243" t="s">
        <v>117</v>
      </c>
      <c r="X32" s="243" t="s">
        <v>117</v>
      </c>
      <c r="Y32" s="242" t="s">
        <v>108</v>
      </c>
      <c r="Z32" s="242" t="s">
        <v>108</v>
      </c>
      <c r="AA32" s="242" t="s">
        <v>116</v>
      </c>
      <c r="AB32" s="242" t="s">
        <v>116</v>
      </c>
      <c r="AC32" s="242" t="s">
        <v>116</v>
      </c>
      <c r="AD32" s="342">
        <v>60</v>
      </c>
      <c r="AE32" s="243" t="s">
        <v>117</v>
      </c>
      <c r="AF32" s="243" t="s">
        <v>117</v>
      </c>
      <c r="AG32" s="242" t="s">
        <v>108</v>
      </c>
      <c r="AH32" s="242" t="s">
        <v>108</v>
      </c>
      <c r="AI32" s="242" t="s">
        <v>116</v>
      </c>
      <c r="AJ32" s="242" t="s">
        <v>116</v>
      </c>
      <c r="AK32" s="242" t="s">
        <v>116</v>
      </c>
      <c r="AL32" s="342">
        <v>60</v>
      </c>
      <c r="AM32" s="316" t="e">
        <f>+#REF!+N32+V32+AL32</f>
        <v>#REF!</v>
      </c>
      <c r="AN32" s="342">
        <v>20</v>
      </c>
    </row>
    <row r="33" spans="1:40">
      <c r="A33" s="23"/>
    </row>
    <row r="34" spans="1:40">
      <c r="B34" s="132">
        <v>23</v>
      </c>
      <c r="C34" s="891" t="s">
        <v>673</v>
      </c>
      <c r="D34" s="892" t="s">
        <v>674</v>
      </c>
      <c r="E34" s="422" t="s">
        <v>686</v>
      </c>
      <c r="F34" s="422" t="s">
        <v>687</v>
      </c>
      <c r="G34" s="24" t="s">
        <v>108</v>
      </c>
      <c r="H34" s="24" t="s">
        <v>108</v>
      </c>
      <c r="I34" s="24" t="s">
        <v>108</v>
      </c>
      <c r="J34" s="24" t="s">
        <v>108</v>
      </c>
      <c r="K34" s="24" t="s">
        <v>108</v>
      </c>
      <c r="L34" s="12" t="s">
        <v>117</v>
      </c>
      <c r="M34" s="12" t="s">
        <v>117</v>
      </c>
      <c r="N34" s="342">
        <v>60</v>
      </c>
      <c r="O34" s="24" t="s">
        <v>108</v>
      </c>
      <c r="P34" s="24" t="s">
        <v>108</v>
      </c>
      <c r="Q34" s="24" t="s">
        <v>108</v>
      </c>
      <c r="R34" s="24" t="s">
        <v>108</v>
      </c>
      <c r="S34" s="24" t="s">
        <v>108</v>
      </c>
      <c r="T34" s="12" t="s">
        <v>117</v>
      </c>
      <c r="U34" s="12" t="s">
        <v>117</v>
      </c>
      <c r="V34" s="342">
        <v>60</v>
      </c>
      <c r="W34" s="24" t="s">
        <v>108</v>
      </c>
      <c r="X34" s="24" t="s">
        <v>108</v>
      </c>
      <c r="Y34" s="24" t="s">
        <v>108</v>
      </c>
      <c r="Z34" s="24" t="s">
        <v>108</v>
      </c>
      <c r="AA34" s="24" t="s">
        <v>108</v>
      </c>
      <c r="AB34" s="12" t="s">
        <v>117</v>
      </c>
      <c r="AC34" s="12" t="s">
        <v>117</v>
      </c>
      <c r="AD34" s="342">
        <v>60</v>
      </c>
      <c r="AE34" s="24" t="s">
        <v>108</v>
      </c>
      <c r="AF34" s="24" t="s">
        <v>108</v>
      </c>
      <c r="AG34" s="24" t="s">
        <v>108</v>
      </c>
      <c r="AH34" s="24" t="s">
        <v>108</v>
      </c>
      <c r="AI34" s="24" t="s">
        <v>108</v>
      </c>
      <c r="AJ34" s="12" t="s">
        <v>117</v>
      </c>
      <c r="AK34" s="12" t="s">
        <v>117</v>
      </c>
      <c r="AL34" s="342">
        <v>60</v>
      </c>
      <c r="AM34" s="316" t="e">
        <f>+#REF!+N34+V34+AL34</f>
        <v>#REF!</v>
      </c>
      <c r="AN34" s="342">
        <v>20</v>
      </c>
    </row>
    <row r="35" spans="1:40">
      <c r="B35" s="132">
        <v>24</v>
      </c>
      <c r="C35" s="891"/>
      <c r="D35" s="892"/>
      <c r="E35" s="422" t="s">
        <v>688</v>
      </c>
      <c r="F35" s="422" t="s">
        <v>675</v>
      </c>
      <c r="G35" s="24" t="s">
        <v>108</v>
      </c>
      <c r="H35" s="24" t="s">
        <v>108</v>
      </c>
      <c r="I35" s="24" t="s">
        <v>108</v>
      </c>
      <c r="J35" s="24" t="s">
        <v>108</v>
      </c>
      <c r="K35" s="24" t="s">
        <v>108</v>
      </c>
      <c r="L35" s="12" t="s">
        <v>117</v>
      </c>
      <c r="M35" s="12" t="s">
        <v>117</v>
      </c>
      <c r="N35" s="342">
        <v>60</v>
      </c>
      <c r="O35" s="24" t="s">
        <v>108</v>
      </c>
      <c r="P35" s="24" t="s">
        <v>108</v>
      </c>
      <c r="Q35" s="24" t="s">
        <v>108</v>
      </c>
      <c r="R35" s="24" t="s">
        <v>108</v>
      </c>
      <c r="S35" s="24" t="s">
        <v>108</v>
      </c>
      <c r="T35" s="12" t="s">
        <v>117</v>
      </c>
      <c r="U35" s="12" t="s">
        <v>117</v>
      </c>
      <c r="V35" s="342">
        <v>60</v>
      </c>
      <c r="W35" s="24" t="s">
        <v>108</v>
      </c>
      <c r="X35" s="24" t="s">
        <v>108</v>
      </c>
      <c r="Y35" s="24" t="s">
        <v>108</v>
      </c>
      <c r="Z35" s="24" t="s">
        <v>108</v>
      </c>
      <c r="AA35" s="24" t="s">
        <v>108</v>
      </c>
      <c r="AB35" s="12" t="s">
        <v>117</v>
      </c>
      <c r="AC35" s="12" t="s">
        <v>117</v>
      </c>
      <c r="AD35" s="342">
        <v>60</v>
      </c>
      <c r="AE35" s="24" t="s">
        <v>108</v>
      </c>
      <c r="AF35" s="24" t="s">
        <v>108</v>
      </c>
      <c r="AG35" s="24" t="s">
        <v>108</v>
      </c>
      <c r="AH35" s="24" t="s">
        <v>108</v>
      </c>
      <c r="AI35" s="24" t="s">
        <v>108</v>
      </c>
      <c r="AJ35" s="12" t="s">
        <v>117</v>
      </c>
      <c r="AK35" s="12" t="s">
        <v>117</v>
      </c>
      <c r="AL35" s="342">
        <v>60</v>
      </c>
      <c r="AM35" s="316" t="e">
        <f>+#REF!+N35+V35+AL35</f>
        <v>#REF!</v>
      </c>
      <c r="AN35" s="342">
        <v>20</v>
      </c>
    </row>
    <row r="37" spans="1:40">
      <c r="A37" s="23"/>
      <c r="B37" s="132">
        <v>25</v>
      </c>
      <c r="C37" s="891" t="s">
        <v>633</v>
      </c>
      <c r="D37" s="893" t="s">
        <v>676</v>
      </c>
      <c r="E37" s="423" t="s">
        <v>677</v>
      </c>
      <c r="F37" s="423" t="s">
        <v>678</v>
      </c>
      <c r="G37" s="11" t="s">
        <v>108</v>
      </c>
      <c r="H37" s="11" t="s">
        <v>116</v>
      </c>
      <c r="I37" s="11" t="s">
        <v>116</v>
      </c>
      <c r="J37" s="12" t="s">
        <v>117</v>
      </c>
      <c r="K37" s="12" t="s">
        <v>117</v>
      </c>
      <c r="L37" s="416" t="s">
        <v>108</v>
      </c>
      <c r="M37" s="11" t="s">
        <v>108</v>
      </c>
      <c r="N37" s="342">
        <v>60</v>
      </c>
      <c r="O37" s="11" t="s">
        <v>108</v>
      </c>
      <c r="P37" s="11" t="s">
        <v>116</v>
      </c>
      <c r="Q37" s="11" t="s">
        <v>116</v>
      </c>
      <c r="R37" s="12" t="s">
        <v>117</v>
      </c>
      <c r="S37" s="12" t="s">
        <v>117</v>
      </c>
      <c r="T37" s="416" t="s">
        <v>108</v>
      </c>
      <c r="U37" s="11" t="s">
        <v>108</v>
      </c>
      <c r="V37" s="342">
        <v>60</v>
      </c>
      <c r="W37" s="11" t="s">
        <v>108</v>
      </c>
      <c r="X37" s="11" t="s">
        <v>116</v>
      </c>
      <c r="Y37" s="11" t="s">
        <v>116</v>
      </c>
      <c r="Z37" s="12" t="s">
        <v>117</v>
      </c>
      <c r="AA37" s="12" t="s">
        <v>117</v>
      </c>
      <c r="AB37" s="416" t="s">
        <v>108</v>
      </c>
      <c r="AC37" s="11" t="s">
        <v>108</v>
      </c>
      <c r="AD37" s="342">
        <v>60</v>
      </c>
      <c r="AE37" s="11" t="s">
        <v>108</v>
      </c>
      <c r="AF37" s="11" t="s">
        <v>116</v>
      </c>
      <c r="AG37" s="11" t="s">
        <v>116</v>
      </c>
      <c r="AH37" s="12" t="s">
        <v>117</v>
      </c>
      <c r="AI37" s="12" t="s">
        <v>117</v>
      </c>
      <c r="AJ37" s="416" t="s">
        <v>108</v>
      </c>
      <c r="AK37" s="11" t="s">
        <v>108</v>
      </c>
      <c r="AL37" s="342">
        <v>60</v>
      </c>
      <c r="AM37" s="316" t="e">
        <f>+#REF!+N37+V37+AL37</f>
        <v>#REF!</v>
      </c>
      <c r="AN37" s="342">
        <v>20</v>
      </c>
    </row>
    <row r="38" spans="1:40">
      <c r="B38" s="132">
        <v>26</v>
      </c>
      <c r="C38" s="891"/>
      <c r="D38" s="893"/>
      <c r="E38" s="423" t="s">
        <v>679</v>
      </c>
      <c r="F38" s="423" t="s">
        <v>680</v>
      </c>
      <c r="G38" s="12" t="s">
        <v>117</v>
      </c>
      <c r="H38" s="11" t="s">
        <v>108</v>
      </c>
      <c r="I38" s="11" t="s">
        <v>108</v>
      </c>
      <c r="J38" s="11" t="s">
        <v>116</v>
      </c>
      <c r="K38" s="11" t="s">
        <v>116</v>
      </c>
      <c r="L38" s="11" t="s">
        <v>116</v>
      </c>
      <c r="M38" s="12" t="s">
        <v>117</v>
      </c>
      <c r="N38" s="342">
        <v>60</v>
      </c>
      <c r="O38" s="12" t="s">
        <v>117</v>
      </c>
      <c r="P38" s="11" t="s">
        <v>108</v>
      </c>
      <c r="Q38" s="11" t="s">
        <v>108</v>
      </c>
      <c r="R38" s="11" t="s">
        <v>116</v>
      </c>
      <c r="S38" s="11" t="s">
        <v>116</v>
      </c>
      <c r="T38" s="11" t="s">
        <v>116</v>
      </c>
      <c r="U38" s="12" t="s">
        <v>117</v>
      </c>
      <c r="V38" s="342">
        <v>60</v>
      </c>
      <c r="W38" s="12" t="s">
        <v>117</v>
      </c>
      <c r="X38" s="11" t="s">
        <v>108</v>
      </c>
      <c r="Y38" s="11" t="s">
        <v>108</v>
      </c>
      <c r="Z38" s="11" t="s">
        <v>116</v>
      </c>
      <c r="AA38" s="11" t="s">
        <v>116</v>
      </c>
      <c r="AB38" s="11" t="s">
        <v>116</v>
      </c>
      <c r="AC38" s="12" t="s">
        <v>117</v>
      </c>
      <c r="AD38" s="342">
        <v>60</v>
      </c>
      <c r="AE38" s="12" t="s">
        <v>117</v>
      </c>
      <c r="AF38" s="11" t="s">
        <v>108</v>
      </c>
      <c r="AG38" s="11" t="s">
        <v>108</v>
      </c>
      <c r="AH38" s="11" t="s">
        <v>116</v>
      </c>
      <c r="AI38" s="11" t="s">
        <v>116</v>
      </c>
      <c r="AJ38" s="11" t="s">
        <v>116</v>
      </c>
      <c r="AK38" s="12" t="s">
        <v>117</v>
      </c>
      <c r="AL38" s="342">
        <v>60</v>
      </c>
      <c r="AM38" s="316" t="e">
        <f>+#REF!+N38+V38+AL38</f>
        <v>#REF!</v>
      </c>
      <c r="AN38" s="342">
        <v>20</v>
      </c>
    </row>
    <row r="39" spans="1:40">
      <c r="B39" s="132">
        <v>27</v>
      </c>
      <c r="C39" s="891"/>
      <c r="D39" s="893"/>
      <c r="E39" s="423" t="s">
        <v>689</v>
      </c>
      <c r="F39" s="423" t="s">
        <v>690</v>
      </c>
      <c r="G39" s="11" t="s">
        <v>116</v>
      </c>
      <c r="H39" s="12" t="s">
        <v>117</v>
      </c>
      <c r="I39" s="12" t="s">
        <v>117</v>
      </c>
      <c r="J39" s="11" t="s">
        <v>108</v>
      </c>
      <c r="K39" s="11" t="s">
        <v>108</v>
      </c>
      <c r="L39" s="11" t="s">
        <v>108</v>
      </c>
      <c r="M39" s="11" t="s">
        <v>116</v>
      </c>
      <c r="N39" s="342">
        <v>60</v>
      </c>
      <c r="O39" s="11" t="s">
        <v>116</v>
      </c>
      <c r="P39" s="12" t="s">
        <v>117</v>
      </c>
      <c r="Q39" s="12" t="s">
        <v>117</v>
      </c>
      <c r="R39" s="11" t="s">
        <v>108</v>
      </c>
      <c r="S39" s="11" t="s">
        <v>108</v>
      </c>
      <c r="T39" s="11" t="s">
        <v>108</v>
      </c>
      <c r="U39" s="11" t="s">
        <v>116</v>
      </c>
      <c r="V39" s="342">
        <v>60</v>
      </c>
      <c r="W39" s="11" t="s">
        <v>116</v>
      </c>
      <c r="X39" s="12" t="s">
        <v>117</v>
      </c>
      <c r="Y39" s="12" t="s">
        <v>117</v>
      </c>
      <c r="Z39" s="11" t="s">
        <v>108</v>
      </c>
      <c r="AA39" s="11" t="s">
        <v>108</v>
      </c>
      <c r="AB39" s="11" t="s">
        <v>108</v>
      </c>
      <c r="AC39" s="11" t="s">
        <v>116</v>
      </c>
      <c r="AD39" s="342">
        <v>60</v>
      </c>
      <c r="AE39" s="11" t="s">
        <v>116</v>
      </c>
      <c r="AF39" s="12" t="s">
        <v>117</v>
      </c>
      <c r="AG39" s="12" t="s">
        <v>117</v>
      </c>
      <c r="AH39" s="11" t="s">
        <v>108</v>
      </c>
      <c r="AI39" s="11" t="s">
        <v>108</v>
      </c>
      <c r="AJ39" s="11" t="s">
        <v>108</v>
      </c>
      <c r="AK39" s="11" t="s">
        <v>116</v>
      </c>
      <c r="AL39" s="342">
        <v>60</v>
      </c>
      <c r="AM39" s="316" t="e">
        <f>+#REF!+N39+V39+AL39</f>
        <v>#REF!</v>
      </c>
      <c r="AN39" s="342">
        <v>20</v>
      </c>
    </row>
    <row r="40" spans="1:40">
      <c r="G40" s="318"/>
      <c r="H40" s="318"/>
      <c r="I40" s="318"/>
      <c r="J40" s="318"/>
      <c r="K40" s="318"/>
      <c r="Q40" s="318"/>
    </row>
    <row r="41" spans="1:40">
      <c r="C41" s="343" t="s">
        <v>132</v>
      </c>
      <c r="D41" s="343" t="s">
        <v>133</v>
      </c>
      <c r="E41" s="343" t="s">
        <v>101</v>
      </c>
    </row>
    <row r="42" spans="1:40">
      <c r="C42" s="113" t="s">
        <v>108</v>
      </c>
      <c r="D42" s="113" t="s">
        <v>605</v>
      </c>
      <c r="E42" s="113" t="s">
        <v>632</v>
      </c>
    </row>
    <row r="43" spans="1:40">
      <c r="C43" s="113" t="s">
        <v>116</v>
      </c>
      <c r="D43" s="113" t="s">
        <v>681</v>
      </c>
      <c r="E43" s="113" t="s">
        <v>632</v>
      </c>
    </row>
    <row r="44" spans="1:40">
      <c r="C44" s="113" t="s">
        <v>162</v>
      </c>
      <c r="D44" s="113" t="s">
        <v>682</v>
      </c>
      <c r="E44" s="24" t="s">
        <v>632</v>
      </c>
    </row>
    <row r="45" spans="1:40">
      <c r="C45" s="113" t="s">
        <v>159</v>
      </c>
      <c r="D45" s="113" t="s">
        <v>382</v>
      </c>
      <c r="E45" s="24" t="s">
        <v>632</v>
      </c>
    </row>
    <row r="46" spans="1:40">
      <c r="C46" s="133" t="s">
        <v>117</v>
      </c>
      <c r="D46" s="113" t="s">
        <v>119</v>
      </c>
      <c r="E46" s="24" t="s">
        <v>632</v>
      </c>
    </row>
    <row r="52" spans="5:6">
      <c r="E52" s="422" t="s">
        <v>670</v>
      </c>
      <c r="F52" s="422" t="s">
        <v>671</v>
      </c>
    </row>
  </sheetData>
  <mergeCells count="59">
    <mergeCell ref="AM7:AM9"/>
    <mergeCell ref="AN7:AN9"/>
    <mergeCell ref="G8:G9"/>
    <mergeCell ref="O8:O9"/>
    <mergeCell ref="W8:W9"/>
    <mergeCell ref="AE8:AE9"/>
    <mergeCell ref="N7:N9"/>
    <mergeCell ref="V7:V9"/>
    <mergeCell ref="AD7:AD9"/>
    <mergeCell ref="AL7:AL9"/>
    <mergeCell ref="AG8:AG9"/>
    <mergeCell ref="AH8:AH9"/>
    <mergeCell ref="AI8:AI9"/>
    <mergeCell ref="AJ8:AJ9"/>
    <mergeCell ref="AK8:AK9"/>
    <mergeCell ref="AA8:AA9"/>
    <mergeCell ref="AF8:AF9"/>
    <mergeCell ref="U8:U9"/>
    <mergeCell ref="X8:X9"/>
    <mergeCell ref="Y8:Y9"/>
    <mergeCell ref="Z8:Z9"/>
    <mergeCell ref="AC8:AC9"/>
    <mergeCell ref="T8:T9"/>
    <mergeCell ref="Q8:Q9"/>
    <mergeCell ref="R8:R9"/>
    <mergeCell ref="S8:S9"/>
    <mergeCell ref="D7:E7"/>
    <mergeCell ref="C2:E4"/>
    <mergeCell ref="F2:J4"/>
    <mergeCell ref="M8:M9"/>
    <mergeCell ref="P8:P9"/>
    <mergeCell ref="H8:H9"/>
    <mergeCell ref="I8:I9"/>
    <mergeCell ref="K2:T2"/>
    <mergeCell ref="K3:T3"/>
    <mergeCell ref="K4:T4"/>
    <mergeCell ref="C5:X6"/>
    <mergeCell ref="U2:AC4"/>
    <mergeCell ref="J8:J9"/>
    <mergeCell ref="K8:K9"/>
    <mergeCell ref="L8:L9"/>
    <mergeCell ref="AB8:AB9"/>
    <mergeCell ref="C19:C20"/>
    <mergeCell ref="D19:D20"/>
    <mergeCell ref="C22:C23"/>
    <mergeCell ref="D22:D23"/>
    <mergeCell ref="C10:C12"/>
    <mergeCell ref="D10:D12"/>
    <mergeCell ref="C13:C15"/>
    <mergeCell ref="D13:D15"/>
    <mergeCell ref="C16:C18"/>
    <mergeCell ref="D16:D18"/>
    <mergeCell ref="C34:C35"/>
    <mergeCell ref="D34:D35"/>
    <mergeCell ref="C37:C39"/>
    <mergeCell ref="D37:D39"/>
    <mergeCell ref="C26:C28"/>
    <mergeCell ref="C30:C32"/>
    <mergeCell ref="D30:D32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37AA5-1DE0-4C56-A5E7-BD193C8CF74E}">
  <sheetPr>
    <tabColor theme="8" tint="-0.249977111117893"/>
  </sheetPr>
  <dimension ref="B1:AT14"/>
  <sheetViews>
    <sheetView zoomScale="80" zoomScaleNormal="80" workbookViewId="0">
      <selection activeCell="C13" sqref="C13:D13"/>
    </sheetView>
  </sheetViews>
  <sheetFormatPr baseColWidth="10" defaultColWidth="3.7109375" defaultRowHeight="15"/>
  <cols>
    <col min="1" max="1" width="3.7109375" style="132"/>
    <col min="2" max="2" width="10.42578125" style="132" bestFit="1" customWidth="1"/>
    <col min="3" max="3" width="18.5703125" style="132" bestFit="1" customWidth="1"/>
    <col min="4" max="4" width="19.28515625" style="132" bestFit="1" customWidth="1"/>
    <col min="5" max="11" width="3.42578125" style="132" customWidth="1"/>
    <col min="12" max="12" width="3.7109375" style="353" customWidth="1"/>
    <col min="13" max="19" width="3.42578125" style="132" customWidth="1"/>
    <col min="20" max="20" width="3.7109375" style="353" customWidth="1"/>
    <col min="21" max="27" width="3.42578125" style="132" customWidth="1"/>
    <col min="28" max="28" width="3.7109375" style="353"/>
    <col min="29" max="35" width="3.42578125" style="132" customWidth="1"/>
    <col min="36" max="36" width="3.7109375" style="353"/>
    <col min="37" max="43" width="3.42578125" style="132" customWidth="1"/>
    <col min="44" max="44" width="3.7109375" style="353"/>
    <col min="45" max="45" width="6.7109375" style="353" customWidth="1"/>
    <col min="46" max="46" width="3.7109375" style="353"/>
    <col min="47" max="16384" width="3.7109375" style="132"/>
  </cols>
  <sheetData>
    <row r="1" spans="2:46" ht="15.75" thickBot="1"/>
    <row r="2" spans="2:46" ht="15.75" thickBot="1">
      <c r="B2" s="664" t="e" vm="6">
        <v>#VALUE!</v>
      </c>
      <c r="C2" s="666"/>
      <c r="D2" s="667" t="s">
        <v>696</v>
      </c>
      <c r="E2" s="668"/>
      <c r="F2" s="668"/>
      <c r="G2" s="668"/>
      <c r="H2" s="668"/>
      <c r="I2" s="668"/>
      <c r="J2" s="823"/>
      <c r="K2" s="817" t="s">
        <v>98</v>
      </c>
      <c r="L2" s="818"/>
      <c r="M2" s="818"/>
      <c r="N2" s="818"/>
      <c r="O2" s="818"/>
      <c r="P2" s="818"/>
      <c r="Q2" s="818"/>
      <c r="R2" s="818"/>
      <c r="S2" s="818"/>
      <c r="T2" s="818"/>
      <c r="U2" s="818"/>
      <c r="V2" s="819"/>
      <c r="W2" s="664" t="e" vm="7">
        <v>#VALUE!</v>
      </c>
      <c r="X2" s="665"/>
      <c r="Y2" s="665"/>
      <c r="Z2" s="665"/>
      <c r="AA2" s="665"/>
      <c r="AB2" s="665"/>
      <c r="AC2" s="665"/>
      <c r="AD2" s="665"/>
      <c r="AE2" s="665"/>
      <c r="AF2" s="665"/>
      <c r="AG2" s="665"/>
      <c r="AH2" s="665"/>
      <c r="AI2" s="666"/>
      <c r="AJ2" s="357"/>
      <c r="AK2" s="1"/>
      <c r="AL2" s="1"/>
      <c r="AM2" s="1"/>
      <c r="AN2" s="1"/>
      <c r="AO2" s="1"/>
      <c r="AP2" s="1"/>
      <c r="AQ2" s="1"/>
    </row>
    <row r="3" spans="2:46" ht="15.75" thickBot="1">
      <c r="B3" s="649"/>
      <c r="C3" s="651"/>
      <c r="D3" s="669"/>
      <c r="E3" s="670"/>
      <c r="F3" s="670"/>
      <c r="G3" s="670"/>
      <c r="H3" s="670"/>
      <c r="I3" s="670"/>
      <c r="J3" s="824"/>
      <c r="K3" s="817" t="s">
        <v>99</v>
      </c>
      <c r="L3" s="818"/>
      <c r="M3" s="818"/>
      <c r="N3" s="818"/>
      <c r="O3" s="818"/>
      <c r="P3" s="818"/>
      <c r="Q3" s="818"/>
      <c r="R3" s="818"/>
      <c r="S3" s="818"/>
      <c r="T3" s="818"/>
      <c r="U3" s="818"/>
      <c r="V3" s="819"/>
      <c r="W3" s="649"/>
      <c r="X3" s="650"/>
      <c r="Y3" s="650"/>
      <c r="Z3" s="650"/>
      <c r="AA3" s="650"/>
      <c r="AB3" s="650"/>
      <c r="AC3" s="650"/>
      <c r="AD3" s="650"/>
      <c r="AE3" s="650"/>
      <c r="AF3" s="650"/>
      <c r="AG3" s="650"/>
      <c r="AH3" s="650"/>
      <c r="AI3" s="651"/>
    </row>
    <row r="4" spans="2:46" ht="15.75" thickBot="1">
      <c r="B4" s="652"/>
      <c r="C4" s="654"/>
      <c r="D4" s="858"/>
      <c r="E4" s="900"/>
      <c r="F4" s="900"/>
      <c r="G4" s="900"/>
      <c r="H4" s="900"/>
      <c r="I4" s="900"/>
      <c r="J4" s="901"/>
      <c r="K4" s="817" t="s">
        <v>100</v>
      </c>
      <c r="L4" s="818"/>
      <c r="M4" s="818"/>
      <c r="N4" s="818"/>
      <c r="O4" s="818"/>
      <c r="P4" s="818"/>
      <c r="Q4" s="818"/>
      <c r="R4" s="818"/>
      <c r="S4" s="818"/>
      <c r="T4" s="818"/>
      <c r="U4" s="818"/>
      <c r="V4" s="819"/>
      <c r="W4" s="652"/>
      <c r="X4" s="653"/>
      <c r="Y4" s="653"/>
      <c r="Z4" s="653"/>
      <c r="AA4" s="653"/>
      <c r="AB4" s="653"/>
      <c r="AC4" s="653"/>
      <c r="AD4" s="653"/>
      <c r="AE4" s="653"/>
      <c r="AF4" s="653"/>
      <c r="AG4" s="653"/>
      <c r="AH4" s="653"/>
      <c r="AI4" s="654"/>
    </row>
    <row r="5" spans="2:46">
      <c r="B5" s="658" t="s">
        <v>696</v>
      </c>
      <c r="C5" s="659"/>
      <c r="D5" s="659"/>
      <c r="E5" s="659"/>
      <c r="F5" s="659"/>
      <c r="G5" s="659"/>
      <c r="H5" s="659"/>
      <c r="I5" s="659"/>
      <c r="J5" s="659"/>
      <c r="K5" s="659"/>
      <c r="L5" s="659"/>
      <c r="M5" s="659"/>
      <c r="N5" s="659"/>
      <c r="O5" s="659"/>
      <c r="P5" s="659"/>
      <c r="Q5" s="659"/>
      <c r="R5" s="659"/>
      <c r="S5" s="659"/>
      <c r="T5" s="659"/>
      <c r="U5" s="659"/>
      <c r="V5" s="659"/>
      <c r="W5" s="659"/>
      <c r="X5" s="659"/>
      <c r="Y5" s="659"/>
      <c r="Z5" s="659"/>
      <c r="AA5" s="659"/>
      <c r="AB5" s="659"/>
      <c r="AC5" s="659"/>
      <c r="AD5" s="659"/>
      <c r="AE5" s="659"/>
      <c r="AF5" s="659"/>
      <c r="AG5" s="659"/>
      <c r="AH5" s="659"/>
      <c r="AI5" s="659"/>
      <c r="AJ5" s="659"/>
      <c r="AK5" s="659"/>
      <c r="AL5" s="659"/>
      <c r="AM5" s="659"/>
      <c r="AN5" s="659"/>
      <c r="AO5" s="659"/>
      <c r="AP5" s="659"/>
      <c r="AQ5" s="659"/>
      <c r="AR5" s="805"/>
    </row>
    <row r="6" spans="2:46" ht="15.75" thickBot="1">
      <c r="B6" s="660"/>
      <c r="C6" s="661"/>
      <c r="D6" s="661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  <c r="P6" s="661"/>
      <c r="Q6" s="661"/>
      <c r="R6" s="661"/>
      <c r="S6" s="661"/>
      <c r="T6" s="661"/>
      <c r="U6" s="661"/>
      <c r="V6" s="661"/>
      <c r="W6" s="661"/>
      <c r="X6" s="661"/>
      <c r="Y6" s="661"/>
      <c r="Z6" s="661"/>
      <c r="AA6" s="661"/>
      <c r="AB6" s="661"/>
      <c r="AC6" s="661"/>
      <c r="AD6" s="661"/>
      <c r="AE6" s="661"/>
      <c r="AF6" s="661"/>
      <c r="AG6" s="661"/>
      <c r="AH6" s="661"/>
      <c r="AI6" s="661"/>
      <c r="AJ6" s="661"/>
      <c r="AK6" s="661"/>
      <c r="AL6" s="661"/>
      <c r="AM6" s="661"/>
      <c r="AN6" s="661"/>
      <c r="AO6" s="661"/>
      <c r="AP6" s="661"/>
      <c r="AQ6" s="661"/>
      <c r="AR6" s="806"/>
    </row>
    <row r="8" spans="2:46" ht="15" customHeight="1">
      <c r="B8" s="902" t="s">
        <v>127</v>
      </c>
      <c r="C8" s="202" t="s">
        <v>629</v>
      </c>
      <c r="D8" s="202" t="s">
        <v>102</v>
      </c>
      <c r="E8" s="229" t="s">
        <v>103</v>
      </c>
      <c r="F8" s="229" t="s">
        <v>104</v>
      </c>
      <c r="G8" s="229" t="s">
        <v>104</v>
      </c>
      <c r="H8" s="229" t="s">
        <v>105</v>
      </c>
      <c r="I8" s="229" t="s">
        <v>106</v>
      </c>
      <c r="J8" s="229" t="s">
        <v>107</v>
      </c>
      <c r="K8" s="229" t="s">
        <v>108</v>
      </c>
      <c r="L8" s="644" t="s">
        <v>109</v>
      </c>
      <c r="M8" s="230" t="s">
        <v>103</v>
      </c>
      <c r="N8" s="230" t="s">
        <v>104</v>
      </c>
      <c r="O8" s="230" t="s">
        <v>104</v>
      </c>
      <c r="P8" s="230" t="s">
        <v>105</v>
      </c>
      <c r="Q8" s="230" t="s">
        <v>106</v>
      </c>
      <c r="R8" s="230" t="s">
        <v>107</v>
      </c>
      <c r="S8" s="230" t="s">
        <v>108</v>
      </c>
      <c r="T8" s="644" t="s">
        <v>109</v>
      </c>
      <c r="U8" s="231" t="s">
        <v>103</v>
      </c>
      <c r="V8" s="231" t="s">
        <v>104</v>
      </c>
      <c r="W8" s="231" t="s">
        <v>104</v>
      </c>
      <c r="X8" s="231" t="s">
        <v>105</v>
      </c>
      <c r="Y8" s="231" t="s">
        <v>106</v>
      </c>
      <c r="Z8" s="231" t="s">
        <v>107</v>
      </c>
      <c r="AA8" s="231" t="s">
        <v>108</v>
      </c>
      <c r="AB8" s="644" t="s">
        <v>109</v>
      </c>
      <c r="AC8" s="227" t="s">
        <v>103</v>
      </c>
      <c r="AD8" s="227" t="s">
        <v>104</v>
      </c>
      <c r="AE8" s="227" t="s">
        <v>104</v>
      </c>
      <c r="AF8" s="228" t="s">
        <v>105</v>
      </c>
      <c r="AG8" s="228" t="s">
        <v>106</v>
      </c>
      <c r="AH8" s="228" t="s">
        <v>107</v>
      </c>
      <c r="AI8" s="228" t="s">
        <v>108</v>
      </c>
      <c r="AJ8" s="644" t="s">
        <v>109</v>
      </c>
      <c r="AK8" s="644" t="s">
        <v>110</v>
      </c>
      <c r="AL8" s="644" t="s">
        <v>111</v>
      </c>
      <c r="AR8" s="132"/>
      <c r="AS8" s="132"/>
      <c r="AT8" s="132"/>
    </row>
    <row r="9" spans="2:46">
      <c r="B9" s="902"/>
      <c r="C9" s="196" t="s">
        <v>845</v>
      </c>
      <c r="D9" s="202" t="s">
        <v>113</v>
      </c>
      <c r="E9" s="645">
        <v>7</v>
      </c>
      <c r="F9" s="645">
        <v>8</v>
      </c>
      <c r="G9" s="645">
        <v>9</v>
      </c>
      <c r="H9" s="645">
        <v>10</v>
      </c>
      <c r="I9" s="645">
        <v>11</v>
      </c>
      <c r="J9" s="645">
        <v>12</v>
      </c>
      <c r="K9" s="645">
        <v>13</v>
      </c>
      <c r="L9" s="644"/>
      <c r="M9" s="645">
        <v>14</v>
      </c>
      <c r="N9" s="645">
        <v>15</v>
      </c>
      <c r="O9" s="645">
        <v>16</v>
      </c>
      <c r="P9" s="645">
        <v>17</v>
      </c>
      <c r="Q9" s="645">
        <v>18</v>
      </c>
      <c r="R9" s="645">
        <v>19</v>
      </c>
      <c r="S9" s="645">
        <v>20</v>
      </c>
      <c r="T9" s="644"/>
      <c r="U9" s="645">
        <v>21</v>
      </c>
      <c r="V9" s="645">
        <v>22</v>
      </c>
      <c r="W9" s="645">
        <v>23</v>
      </c>
      <c r="X9" s="645">
        <v>24</v>
      </c>
      <c r="Y9" s="645">
        <v>25</v>
      </c>
      <c r="Z9" s="645">
        <v>26</v>
      </c>
      <c r="AA9" s="645">
        <v>27</v>
      </c>
      <c r="AB9" s="644"/>
      <c r="AC9" s="645">
        <v>28</v>
      </c>
      <c r="AD9" s="645">
        <v>29</v>
      </c>
      <c r="AE9" s="645">
        <v>30</v>
      </c>
      <c r="AF9" s="645">
        <v>1</v>
      </c>
      <c r="AG9" s="645">
        <v>2</v>
      </c>
      <c r="AH9" s="645">
        <v>3</v>
      </c>
      <c r="AI9" s="645">
        <v>4</v>
      </c>
      <c r="AJ9" s="644"/>
      <c r="AK9" s="644"/>
      <c r="AL9" s="644"/>
      <c r="AR9" s="132"/>
      <c r="AS9" s="132"/>
      <c r="AT9" s="132"/>
    </row>
    <row r="10" spans="2:46">
      <c r="B10" s="902"/>
      <c r="C10" s="202" t="s">
        <v>114</v>
      </c>
      <c r="D10" s="202" t="s">
        <v>115</v>
      </c>
      <c r="E10" s="645"/>
      <c r="F10" s="645"/>
      <c r="G10" s="645"/>
      <c r="H10" s="645"/>
      <c r="I10" s="645"/>
      <c r="J10" s="645"/>
      <c r="K10" s="645"/>
      <c r="L10" s="644"/>
      <c r="M10" s="645"/>
      <c r="N10" s="645"/>
      <c r="O10" s="645"/>
      <c r="P10" s="645"/>
      <c r="Q10" s="645"/>
      <c r="R10" s="645"/>
      <c r="S10" s="645"/>
      <c r="T10" s="644"/>
      <c r="U10" s="645"/>
      <c r="V10" s="645"/>
      <c r="W10" s="645"/>
      <c r="X10" s="645"/>
      <c r="Y10" s="645"/>
      <c r="Z10" s="645"/>
      <c r="AA10" s="645"/>
      <c r="AB10" s="644"/>
      <c r="AC10" s="645"/>
      <c r="AD10" s="645"/>
      <c r="AE10" s="645"/>
      <c r="AF10" s="645"/>
      <c r="AG10" s="645"/>
      <c r="AH10" s="645"/>
      <c r="AI10" s="645"/>
      <c r="AJ10" s="644"/>
      <c r="AK10" s="644"/>
      <c r="AL10" s="644"/>
      <c r="AR10" s="132"/>
      <c r="AS10" s="132"/>
      <c r="AT10" s="132"/>
    </row>
    <row r="11" spans="2:46">
      <c r="B11" s="198">
        <v>1</v>
      </c>
      <c r="C11" s="194" t="s">
        <v>834</v>
      </c>
      <c r="D11" s="194" t="s">
        <v>174</v>
      </c>
      <c r="E11" s="11" t="s">
        <v>116</v>
      </c>
      <c r="F11" s="322" t="s">
        <v>116</v>
      </c>
      <c r="G11" s="322" t="s">
        <v>116</v>
      </c>
      <c r="H11" s="322" t="s">
        <v>116</v>
      </c>
      <c r="I11" s="359" t="s">
        <v>117</v>
      </c>
      <c r="J11" s="359" t="s">
        <v>117</v>
      </c>
      <c r="K11" s="322" t="s">
        <v>108</v>
      </c>
      <c r="L11" s="435">
        <v>60</v>
      </c>
      <c r="M11" s="11" t="s">
        <v>116</v>
      </c>
      <c r="N11" s="322" t="s">
        <v>116</v>
      </c>
      <c r="O11" s="322" t="s">
        <v>116</v>
      </c>
      <c r="P11" s="322" t="s">
        <v>116</v>
      </c>
      <c r="Q11" s="359" t="s">
        <v>117</v>
      </c>
      <c r="R11" s="359" t="s">
        <v>117</v>
      </c>
      <c r="S11" s="322" t="s">
        <v>108</v>
      </c>
      <c r="T11" s="435">
        <v>60</v>
      </c>
      <c r="U11" s="11" t="s">
        <v>116</v>
      </c>
      <c r="V11" s="322" t="s">
        <v>116</v>
      </c>
      <c r="W11" s="322" t="s">
        <v>116</v>
      </c>
      <c r="X11" s="322" t="s">
        <v>116</v>
      </c>
      <c r="Y11" s="359" t="s">
        <v>117</v>
      </c>
      <c r="Z11" s="359" t="s">
        <v>117</v>
      </c>
      <c r="AA11" s="322" t="s">
        <v>108</v>
      </c>
      <c r="AB11" s="435">
        <v>60</v>
      </c>
      <c r="AC11" s="11" t="s">
        <v>116</v>
      </c>
      <c r="AD11" s="322" t="s">
        <v>116</v>
      </c>
      <c r="AE11" s="322" t="s">
        <v>116</v>
      </c>
      <c r="AF11" s="322" t="s">
        <v>116</v>
      </c>
      <c r="AG11" s="359" t="s">
        <v>117</v>
      </c>
      <c r="AH11" s="359" t="s">
        <v>117</v>
      </c>
      <c r="AI11" s="322" t="s">
        <v>108</v>
      </c>
      <c r="AJ11" s="428">
        <v>60</v>
      </c>
      <c r="AK11" s="383" t="e">
        <f>+#REF!+L11+T11+AJ11</f>
        <v>#REF!</v>
      </c>
      <c r="AL11" s="398">
        <v>20</v>
      </c>
      <c r="AR11" s="132"/>
      <c r="AS11" s="132"/>
      <c r="AT11" s="132"/>
    </row>
    <row r="12" spans="2:46">
      <c r="B12" s="198">
        <v>2</v>
      </c>
      <c r="C12" s="194" t="s">
        <v>630</v>
      </c>
      <c r="D12" s="194" t="s">
        <v>631</v>
      </c>
      <c r="E12" s="11" t="s">
        <v>108</v>
      </c>
      <c r="F12" s="11" t="s">
        <v>108</v>
      </c>
      <c r="G12" s="327" t="s">
        <v>117</v>
      </c>
      <c r="H12" s="327" t="s">
        <v>117</v>
      </c>
      <c r="I12" s="11" t="s">
        <v>108</v>
      </c>
      <c r="J12" s="424" t="s">
        <v>108</v>
      </c>
      <c r="K12" s="424" t="s">
        <v>108</v>
      </c>
      <c r="L12" s="435">
        <v>60</v>
      </c>
      <c r="M12" s="11" t="s">
        <v>108</v>
      </c>
      <c r="N12" s="11" t="s">
        <v>108</v>
      </c>
      <c r="O12" s="327" t="s">
        <v>117</v>
      </c>
      <c r="P12" s="327" t="s">
        <v>117</v>
      </c>
      <c r="Q12" s="11" t="s">
        <v>108</v>
      </c>
      <c r="R12" s="424" t="s">
        <v>108</v>
      </c>
      <c r="S12" s="424" t="s">
        <v>108</v>
      </c>
      <c r="T12" s="435">
        <v>60</v>
      </c>
      <c r="U12" s="11" t="s">
        <v>108</v>
      </c>
      <c r="V12" s="11" t="s">
        <v>108</v>
      </c>
      <c r="W12" s="327" t="s">
        <v>117</v>
      </c>
      <c r="X12" s="327" t="s">
        <v>117</v>
      </c>
      <c r="Y12" s="11" t="s">
        <v>108</v>
      </c>
      <c r="Z12" s="424" t="s">
        <v>108</v>
      </c>
      <c r="AA12" s="424" t="s">
        <v>108</v>
      </c>
      <c r="AB12" s="435">
        <v>60</v>
      </c>
      <c r="AC12" s="11" t="s">
        <v>108</v>
      </c>
      <c r="AD12" s="11" t="s">
        <v>108</v>
      </c>
      <c r="AE12" s="327" t="s">
        <v>117</v>
      </c>
      <c r="AF12" s="327" t="s">
        <v>117</v>
      </c>
      <c r="AG12" s="11" t="s">
        <v>108</v>
      </c>
      <c r="AH12" s="424" t="s">
        <v>108</v>
      </c>
      <c r="AI12" s="424" t="s">
        <v>108</v>
      </c>
      <c r="AJ12" s="428">
        <v>60</v>
      </c>
      <c r="AK12" s="383" t="e">
        <f>+#REF!+L12+T12+AJ12</f>
        <v>#REF!</v>
      </c>
      <c r="AL12" s="398">
        <v>20</v>
      </c>
      <c r="AR12" s="132"/>
      <c r="AS12" s="132"/>
      <c r="AT12" s="132"/>
    </row>
    <row r="13" spans="2:46">
      <c r="B13" s="198">
        <v>3</v>
      </c>
      <c r="C13" s="194" t="s">
        <v>881</v>
      </c>
      <c r="D13" s="194" t="s">
        <v>706</v>
      </c>
      <c r="E13" s="327" t="s">
        <v>117</v>
      </c>
      <c r="F13" s="327" t="s">
        <v>117</v>
      </c>
      <c r="G13" s="322" t="s">
        <v>108</v>
      </c>
      <c r="H13" s="322" t="s">
        <v>108</v>
      </c>
      <c r="I13" s="322" t="s">
        <v>116</v>
      </c>
      <c r="J13" s="322" t="s">
        <v>116</v>
      </c>
      <c r="K13" s="322" t="s">
        <v>116</v>
      </c>
      <c r="L13" s="435">
        <v>60</v>
      </c>
      <c r="M13" s="327" t="s">
        <v>117</v>
      </c>
      <c r="N13" s="327" t="s">
        <v>117</v>
      </c>
      <c r="O13" s="322" t="s">
        <v>108</v>
      </c>
      <c r="P13" s="322" t="s">
        <v>108</v>
      </c>
      <c r="Q13" s="322" t="s">
        <v>116</v>
      </c>
      <c r="R13" s="322" t="s">
        <v>116</v>
      </c>
      <c r="S13" s="322" t="s">
        <v>116</v>
      </c>
      <c r="T13" s="435">
        <v>60</v>
      </c>
      <c r="U13" s="327" t="s">
        <v>117</v>
      </c>
      <c r="V13" s="327" t="s">
        <v>117</v>
      </c>
      <c r="W13" s="322" t="s">
        <v>108</v>
      </c>
      <c r="X13" s="322" t="s">
        <v>108</v>
      </c>
      <c r="Y13" s="322" t="s">
        <v>116</v>
      </c>
      <c r="Z13" s="322" t="s">
        <v>116</v>
      </c>
      <c r="AA13" s="322" t="s">
        <v>116</v>
      </c>
      <c r="AB13" s="435">
        <v>60</v>
      </c>
      <c r="AC13" s="327" t="s">
        <v>117</v>
      </c>
      <c r="AD13" s="327" t="s">
        <v>117</v>
      </c>
      <c r="AE13" s="322" t="s">
        <v>108</v>
      </c>
      <c r="AF13" s="322" t="s">
        <v>108</v>
      </c>
      <c r="AG13" s="322" t="s">
        <v>116</v>
      </c>
      <c r="AH13" s="322" t="s">
        <v>116</v>
      </c>
      <c r="AI13" s="322" t="s">
        <v>116</v>
      </c>
      <c r="AJ13" s="428">
        <v>60</v>
      </c>
      <c r="AK13" s="383" t="e">
        <f>+#REF!+L13+T13+AJ13</f>
        <v>#REF!</v>
      </c>
      <c r="AL13" s="398">
        <v>20</v>
      </c>
      <c r="AR13" s="132"/>
      <c r="AS13" s="132"/>
      <c r="AT13" s="132"/>
    </row>
    <row r="14" spans="2:46">
      <c r="E14" s="353"/>
      <c r="K14" s="438" t="s">
        <v>108</v>
      </c>
      <c r="L14" s="132"/>
      <c r="M14" s="353"/>
      <c r="S14" s="438" t="s">
        <v>108</v>
      </c>
      <c r="T14" s="132"/>
      <c r="U14" s="353"/>
      <c r="AA14" s="438" t="s">
        <v>108</v>
      </c>
      <c r="AB14" s="132"/>
      <c r="AC14" s="353"/>
      <c r="AI14" s="438" t="s">
        <v>108</v>
      </c>
      <c r="AJ14" s="132"/>
      <c r="AK14" s="353"/>
      <c r="AL14" s="353"/>
      <c r="AM14" s="353"/>
      <c r="AR14" s="132"/>
      <c r="AS14" s="132"/>
      <c r="AT14" s="132"/>
    </row>
  </sheetData>
  <mergeCells count="42">
    <mergeCell ref="B8:B10"/>
    <mergeCell ref="L8:L10"/>
    <mergeCell ref="T8:T10"/>
    <mergeCell ref="AJ8:AJ10"/>
    <mergeCell ref="I9:I10"/>
    <mergeCell ref="E9:E10"/>
    <mergeCell ref="F9:F10"/>
    <mergeCell ref="G9:G10"/>
    <mergeCell ref="H9:H10"/>
    <mergeCell ref="J9:J10"/>
    <mergeCell ref="K9:K10"/>
    <mergeCell ref="W9:W10"/>
    <mergeCell ref="M9:M10"/>
    <mergeCell ref="N9:N10"/>
    <mergeCell ref="O9:O10"/>
    <mergeCell ref="P9:P10"/>
    <mergeCell ref="Q9:Q10"/>
    <mergeCell ref="R9:R10"/>
    <mergeCell ref="S9:S10"/>
    <mergeCell ref="U9:U10"/>
    <mergeCell ref="V9:V10"/>
    <mergeCell ref="AK8:AK10"/>
    <mergeCell ref="AL8:AL10"/>
    <mergeCell ref="X9:X10"/>
    <mergeCell ref="Y9:Y10"/>
    <mergeCell ref="Z9:Z10"/>
    <mergeCell ref="AA9:AA10"/>
    <mergeCell ref="AB8:AB10"/>
    <mergeCell ref="AC9:AC10"/>
    <mergeCell ref="AD9:AD10"/>
    <mergeCell ref="AE9:AE10"/>
    <mergeCell ref="AF9:AF10"/>
    <mergeCell ref="AG9:AG10"/>
    <mergeCell ref="AH9:AH10"/>
    <mergeCell ref="AI9:AI10"/>
    <mergeCell ref="B5:AR6"/>
    <mergeCell ref="B2:C4"/>
    <mergeCell ref="D2:J4"/>
    <mergeCell ref="K2:V2"/>
    <mergeCell ref="W2:AI4"/>
    <mergeCell ref="K3:V3"/>
    <mergeCell ref="K4:V4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53F24-9ADA-4BD2-B49A-5B7AF5A917F8}">
  <sheetPr>
    <tabColor rgb="FFFF99CC"/>
  </sheetPr>
  <dimension ref="B1:AU46"/>
  <sheetViews>
    <sheetView zoomScale="80" zoomScaleNormal="80" workbookViewId="0">
      <pane ySplit="6" topLeftCell="A7" activePane="bottomLeft" state="frozen"/>
      <selection pane="bottomLeft" activeCell="B8" sqref="B8:AJ22"/>
    </sheetView>
  </sheetViews>
  <sheetFormatPr baseColWidth="10" defaultColWidth="11.42578125" defaultRowHeight="15"/>
  <cols>
    <col min="1" max="1" width="3.7109375" style="200" customWidth="1"/>
    <col min="2" max="2" width="14.7109375" style="200" customWidth="1"/>
    <col min="3" max="3" width="15.7109375" style="200" customWidth="1"/>
    <col min="4" max="4" width="21.7109375" style="200" bestFit="1" customWidth="1"/>
    <col min="5" max="5" width="25.140625" style="200" customWidth="1"/>
    <col min="6" max="6" width="2.7109375" style="200" bestFit="1" customWidth="1"/>
    <col min="7" max="8" width="3" style="200" bestFit="1" customWidth="1"/>
    <col min="9" max="12" width="3.42578125" style="200" bestFit="1" customWidth="1"/>
    <col min="13" max="13" width="4.7109375" style="389" customWidth="1"/>
    <col min="14" max="20" width="3.42578125" style="200" bestFit="1" customWidth="1"/>
    <col min="21" max="21" width="4.7109375" style="389" customWidth="1"/>
    <col min="22" max="28" width="3.42578125" style="200" bestFit="1" customWidth="1"/>
    <col min="29" max="29" width="4.7109375" style="389" customWidth="1"/>
    <col min="30" max="32" width="3.42578125" style="200" bestFit="1" customWidth="1"/>
    <col min="33" max="36" width="2.7109375" style="200" bestFit="1" customWidth="1"/>
    <col min="37" max="37" width="4.7109375" style="389" customWidth="1"/>
    <col min="38" max="44" width="4.7109375" style="200" customWidth="1"/>
    <col min="45" max="47" width="4.7109375" style="395" customWidth="1"/>
    <col min="48" max="16384" width="11.42578125" style="200"/>
  </cols>
  <sheetData>
    <row r="1" spans="2:47" ht="15.75" thickBot="1"/>
    <row r="2" spans="2:47" ht="15" customHeight="1" thickBot="1">
      <c r="B2" s="909" t="e" vm="11">
        <v>#VALUE!</v>
      </c>
      <c r="C2" s="910"/>
      <c r="D2" s="911"/>
      <c r="E2" s="915" t="s">
        <v>696</v>
      </c>
      <c r="F2" s="916"/>
      <c r="G2" s="916"/>
      <c r="H2" s="916"/>
      <c r="I2" s="916"/>
      <c r="J2" s="916"/>
      <c r="K2" s="917"/>
      <c r="L2" s="921" t="s">
        <v>98</v>
      </c>
      <c r="M2" s="922"/>
      <c r="N2" s="922"/>
      <c r="O2" s="922"/>
      <c r="P2" s="922"/>
      <c r="Q2" s="922"/>
      <c r="R2" s="922"/>
      <c r="S2" s="922"/>
      <c r="T2" s="922"/>
      <c r="U2" s="922"/>
      <c r="V2" s="922"/>
      <c r="W2" s="923"/>
      <c r="X2" s="909" t="e" vm="12">
        <v>#VALUE!</v>
      </c>
      <c r="Y2" s="910"/>
      <c r="Z2" s="910"/>
      <c r="AA2" s="910"/>
      <c r="AB2" s="910"/>
      <c r="AC2" s="910"/>
      <c r="AD2" s="910"/>
      <c r="AE2" s="910"/>
      <c r="AF2" s="910"/>
      <c r="AG2" s="910"/>
      <c r="AH2" s="910"/>
      <c r="AI2" s="910"/>
      <c r="AJ2" s="911"/>
      <c r="AK2" s="394"/>
      <c r="AL2" s="225"/>
      <c r="AM2" s="225"/>
      <c r="AN2" s="225"/>
      <c r="AO2" s="225"/>
      <c r="AP2" s="225"/>
      <c r="AQ2" s="225"/>
      <c r="AR2" s="225"/>
    </row>
    <row r="3" spans="2:47" ht="15" customHeight="1" thickBot="1">
      <c r="B3" s="912"/>
      <c r="C3" s="913"/>
      <c r="D3" s="914"/>
      <c r="E3" s="918"/>
      <c r="F3" s="919"/>
      <c r="G3" s="919"/>
      <c r="H3" s="919"/>
      <c r="I3" s="919"/>
      <c r="J3" s="919"/>
      <c r="K3" s="920"/>
      <c r="L3" s="921" t="s">
        <v>99</v>
      </c>
      <c r="M3" s="922"/>
      <c r="N3" s="922"/>
      <c r="O3" s="922"/>
      <c r="P3" s="922"/>
      <c r="Q3" s="922"/>
      <c r="R3" s="922"/>
      <c r="S3" s="922"/>
      <c r="T3" s="922"/>
      <c r="U3" s="922"/>
      <c r="V3" s="922"/>
      <c r="W3" s="923"/>
      <c r="X3" s="912"/>
      <c r="Y3" s="913"/>
      <c r="Z3" s="913"/>
      <c r="AA3" s="913"/>
      <c r="AB3" s="913"/>
      <c r="AC3" s="913"/>
      <c r="AD3" s="913"/>
      <c r="AE3" s="913"/>
      <c r="AF3" s="913"/>
      <c r="AG3" s="913"/>
      <c r="AH3" s="913"/>
      <c r="AI3" s="913"/>
      <c r="AJ3" s="914"/>
      <c r="AK3" s="394"/>
      <c r="AL3" s="225"/>
      <c r="AM3" s="225"/>
      <c r="AN3" s="225"/>
      <c r="AO3" s="225"/>
      <c r="AP3" s="225"/>
      <c r="AQ3" s="225"/>
      <c r="AR3" s="225"/>
    </row>
    <row r="4" spans="2:47" ht="15" customHeight="1" thickBot="1">
      <c r="B4" s="912"/>
      <c r="C4" s="913"/>
      <c r="D4" s="914"/>
      <c r="E4" s="918"/>
      <c r="F4" s="919"/>
      <c r="G4" s="919"/>
      <c r="H4" s="919"/>
      <c r="I4" s="919"/>
      <c r="J4" s="919"/>
      <c r="K4" s="920"/>
      <c r="L4" s="921" t="s">
        <v>100</v>
      </c>
      <c r="M4" s="922"/>
      <c r="N4" s="922"/>
      <c r="O4" s="922"/>
      <c r="P4" s="922"/>
      <c r="Q4" s="922"/>
      <c r="R4" s="922"/>
      <c r="S4" s="922"/>
      <c r="T4" s="922"/>
      <c r="U4" s="922"/>
      <c r="V4" s="922"/>
      <c r="W4" s="923"/>
      <c r="X4" s="912"/>
      <c r="Y4" s="913"/>
      <c r="Z4" s="913"/>
      <c r="AA4" s="913"/>
      <c r="AB4" s="913"/>
      <c r="AC4" s="913"/>
      <c r="AD4" s="913"/>
      <c r="AE4" s="913"/>
      <c r="AF4" s="913"/>
      <c r="AG4" s="913"/>
      <c r="AH4" s="913"/>
      <c r="AI4" s="913"/>
      <c r="AJ4" s="914"/>
      <c r="AK4" s="394"/>
      <c r="AL4" s="225"/>
      <c r="AM4" s="225"/>
      <c r="AN4" s="225"/>
      <c r="AO4" s="225"/>
      <c r="AP4" s="225"/>
      <c r="AQ4" s="225"/>
      <c r="AR4" s="225"/>
      <c r="AS4" s="396"/>
    </row>
    <row r="5" spans="2:47" ht="15.75" customHeight="1">
      <c r="B5" s="658" t="s">
        <v>696</v>
      </c>
      <c r="C5" s="659"/>
      <c r="D5" s="659"/>
      <c r="E5" s="659"/>
      <c r="F5" s="659"/>
      <c r="G5" s="659"/>
      <c r="H5" s="659"/>
      <c r="I5" s="659"/>
      <c r="J5" s="659"/>
      <c r="K5" s="659"/>
      <c r="L5" s="659"/>
      <c r="M5" s="659"/>
      <c r="N5" s="659"/>
      <c r="O5" s="659"/>
      <c r="P5" s="659"/>
      <c r="Q5" s="659"/>
      <c r="R5" s="659"/>
      <c r="S5" s="659"/>
      <c r="T5" s="659"/>
      <c r="U5" s="659"/>
      <c r="V5" s="659"/>
      <c r="W5" s="659"/>
      <c r="X5" s="659"/>
      <c r="Y5" s="659"/>
      <c r="Z5" s="659"/>
      <c r="AA5" s="659"/>
      <c r="AB5" s="659"/>
      <c r="AC5" s="659"/>
      <c r="AD5" s="659"/>
      <c r="AE5" s="659"/>
      <c r="AF5" s="659"/>
      <c r="AG5" s="659"/>
      <c r="AH5" s="659"/>
      <c r="AI5" s="659"/>
      <c r="AJ5" s="659"/>
      <c r="AK5" s="659"/>
      <c r="AL5" s="659"/>
      <c r="AM5" s="659"/>
      <c r="AN5" s="659"/>
      <c r="AO5" s="659"/>
      <c r="AP5" s="659"/>
      <c r="AQ5" s="659"/>
      <c r="AR5" s="659"/>
      <c r="AS5" s="659"/>
      <c r="AT5" s="659"/>
      <c r="AU5" s="805"/>
    </row>
    <row r="6" spans="2:47" ht="15.75" customHeight="1" thickBot="1">
      <c r="B6" s="660"/>
      <c r="C6" s="661"/>
      <c r="D6" s="661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  <c r="P6" s="661"/>
      <c r="Q6" s="661"/>
      <c r="R6" s="661"/>
      <c r="S6" s="661"/>
      <c r="T6" s="661"/>
      <c r="U6" s="661"/>
      <c r="V6" s="661"/>
      <c r="W6" s="661"/>
      <c r="X6" s="661"/>
      <c r="Y6" s="661"/>
      <c r="Z6" s="661"/>
      <c r="AA6" s="661"/>
      <c r="AB6" s="661"/>
      <c r="AC6" s="661"/>
      <c r="AD6" s="661"/>
      <c r="AE6" s="661"/>
      <c r="AF6" s="661"/>
      <c r="AG6" s="661"/>
      <c r="AH6" s="661"/>
      <c r="AI6" s="661"/>
      <c r="AJ6" s="661"/>
      <c r="AK6" s="661"/>
      <c r="AL6" s="661"/>
      <c r="AM6" s="661"/>
      <c r="AN6" s="661"/>
      <c r="AO6" s="661"/>
      <c r="AP6" s="661"/>
      <c r="AQ6" s="661"/>
      <c r="AR6" s="661"/>
      <c r="AS6" s="661"/>
      <c r="AT6" s="661"/>
      <c r="AU6" s="806"/>
    </row>
    <row r="7" spans="2:47" ht="15.75" customHeight="1">
      <c r="M7" s="200"/>
      <c r="U7" s="200"/>
      <c r="AC7" s="200"/>
      <c r="AK7" s="200"/>
      <c r="AS7" s="200"/>
      <c r="AT7" s="200"/>
      <c r="AU7" s="200"/>
    </row>
    <row r="8" spans="2:47" ht="15.75" customHeight="1">
      <c r="B8" s="202" t="s">
        <v>101</v>
      </c>
      <c r="C8" s="903" t="s">
        <v>735</v>
      </c>
      <c r="D8" s="202" t="s">
        <v>607</v>
      </c>
      <c r="E8" s="202" t="s">
        <v>102</v>
      </c>
      <c r="F8" s="483" t="s">
        <v>103</v>
      </c>
      <c r="G8" s="483" t="s">
        <v>104</v>
      </c>
      <c r="H8" s="483" t="s">
        <v>104</v>
      </c>
      <c r="I8" s="483" t="s">
        <v>105</v>
      </c>
      <c r="J8" s="483" t="s">
        <v>106</v>
      </c>
      <c r="K8" s="483" t="s">
        <v>107</v>
      </c>
      <c r="L8" s="483" t="s">
        <v>108</v>
      </c>
      <c r="M8" s="820" t="s">
        <v>109</v>
      </c>
      <c r="N8" s="484" t="s">
        <v>103</v>
      </c>
      <c r="O8" s="484" t="s">
        <v>104</v>
      </c>
      <c r="P8" s="484" t="s">
        <v>104</v>
      </c>
      <c r="Q8" s="484" t="s">
        <v>105</v>
      </c>
      <c r="R8" s="484" t="s">
        <v>106</v>
      </c>
      <c r="S8" s="484" t="s">
        <v>107</v>
      </c>
      <c r="T8" s="484" t="s">
        <v>108</v>
      </c>
      <c r="U8" s="820" t="s">
        <v>109</v>
      </c>
      <c r="V8" s="485" t="s">
        <v>103</v>
      </c>
      <c r="W8" s="485" t="s">
        <v>104</v>
      </c>
      <c r="X8" s="485" t="s">
        <v>104</v>
      </c>
      <c r="Y8" s="485" t="s">
        <v>105</v>
      </c>
      <c r="Z8" s="485" t="s">
        <v>106</v>
      </c>
      <c r="AA8" s="485" t="s">
        <v>107</v>
      </c>
      <c r="AB8" s="485" t="s">
        <v>108</v>
      </c>
      <c r="AC8" s="820" t="s">
        <v>109</v>
      </c>
      <c r="AD8" s="486" t="s">
        <v>103</v>
      </c>
      <c r="AE8" s="486" t="s">
        <v>104</v>
      </c>
      <c r="AF8" s="486" t="s">
        <v>104</v>
      </c>
      <c r="AG8" s="487" t="s">
        <v>105</v>
      </c>
      <c r="AH8" s="487" t="s">
        <v>106</v>
      </c>
      <c r="AI8" s="487" t="s">
        <v>107</v>
      </c>
      <c r="AJ8" s="487" t="s">
        <v>108</v>
      </c>
      <c r="AK8" s="644" t="s">
        <v>109</v>
      </c>
      <c r="AL8" s="644" t="s">
        <v>129</v>
      </c>
      <c r="AM8" s="644" t="s">
        <v>111</v>
      </c>
      <c r="AS8" s="200"/>
      <c r="AT8" s="200"/>
      <c r="AU8" s="200"/>
    </row>
    <row r="9" spans="2:47">
      <c r="B9" s="202" t="s">
        <v>112</v>
      </c>
      <c r="C9" s="904"/>
      <c r="D9" s="196" t="s">
        <v>845</v>
      </c>
      <c r="E9" s="202" t="s">
        <v>113</v>
      </c>
      <c r="F9" s="816">
        <v>7</v>
      </c>
      <c r="G9" s="816">
        <v>8</v>
      </c>
      <c r="H9" s="816">
        <v>9</v>
      </c>
      <c r="I9" s="816">
        <v>10</v>
      </c>
      <c r="J9" s="816">
        <v>11</v>
      </c>
      <c r="K9" s="816">
        <v>12</v>
      </c>
      <c r="L9" s="816">
        <v>13</v>
      </c>
      <c r="M9" s="820"/>
      <c r="N9" s="816">
        <v>14</v>
      </c>
      <c r="O9" s="816">
        <v>15</v>
      </c>
      <c r="P9" s="816">
        <v>16</v>
      </c>
      <c r="Q9" s="816">
        <v>17</v>
      </c>
      <c r="R9" s="816">
        <v>18</v>
      </c>
      <c r="S9" s="816">
        <v>19</v>
      </c>
      <c r="T9" s="816">
        <v>20</v>
      </c>
      <c r="U9" s="820"/>
      <c r="V9" s="816">
        <v>21</v>
      </c>
      <c r="W9" s="816">
        <v>22</v>
      </c>
      <c r="X9" s="816">
        <v>23</v>
      </c>
      <c r="Y9" s="816">
        <v>24</v>
      </c>
      <c r="Z9" s="816">
        <v>25</v>
      </c>
      <c r="AA9" s="816">
        <v>26</v>
      </c>
      <c r="AB9" s="816">
        <v>27</v>
      </c>
      <c r="AC9" s="820"/>
      <c r="AD9" s="816">
        <v>28</v>
      </c>
      <c r="AE9" s="816">
        <v>29</v>
      </c>
      <c r="AF9" s="816">
        <v>30</v>
      </c>
      <c r="AG9" s="816">
        <v>1</v>
      </c>
      <c r="AH9" s="816">
        <v>2</v>
      </c>
      <c r="AI9" s="816">
        <v>3</v>
      </c>
      <c r="AJ9" s="816">
        <v>4</v>
      </c>
      <c r="AK9" s="644"/>
      <c r="AL9" s="644"/>
      <c r="AM9" s="644"/>
      <c r="AS9" s="200"/>
      <c r="AT9" s="200"/>
      <c r="AU9" s="200"/>
    </row>
    <row r="10" spans="2:47">
      <c r="B10" s="204" t="s">
        <v>42</v>
      </c>
      <c r="C10" s="905"/>
      <c r="D10" s="205" t="s">
        <v>114</v>
      </c>
      <c r="E10" s="205" t="s">
        <v>115</v>
      </c>
      <c r="F10" s="816"/>
      <c r="G10" s="816"/>
      <c r="H10" s="816"/>
      <c r="I10" s="816"/>
      <c r="J10" s="816"/>
      <c r="K10" s="816"/>
      <c r="L10" s="816"/>
      <c r="M10" s="820"/>
      <c r="N10" s="816"/>
      <c r="O10" s="816"/>
      <c r="P10" s="816"/>
      <c r="Q10" s="816"/>
      <c r="R10" s="816"/>
      <c r="S10" s="816"/>
      <c r="T10" s="816"/>
      <c r="U10" s="820"/>
      <c r="V10" s="816"/>
      <c r="W10" s="816"/>
      <c r="X10" s="816"/>
      <c r="Y10" s="816"/>
      <c r="Z10" s="816"/>
      <c r="AA10" s="816"/>
      <c r="AB10" s="816"/>
      <c r="AC10" s="820"/>
      <c r="AD10" s="816"/>
      <c r="AE10" s="816"/>
      <c r="AF10" s="816"/>
      <c r="AG10" s="816"/>
      <c r="AH10" s="816"/>
      <c r="AI10" s="816"/>
      <c r="AJ10" s="816"/>
      <c r="AK10" s="644"/>
      <c r="AL10" s="644"/>
      <c r="AM10" s="644"/>
      <c r="AS10" s="200"/>
      <c r="AT10" s="200"/>
      <c r="AU10" s="200"/>
    </row>
    <row r="11" spans="2:47">
      <c r="B11" s="206">
        <v>1</v>
      </c>
      <c r="C11" s="206" t="s">
        <v>736</v>
      </c>
      <c r="D11" s="207" t="s">
        <v>608</v>
      </c>
      <c r="E11" s="207" t="s">
        <v>609</v>
      </c>
      <c r="F11" s="208" t="s">
        <v>108</v>
      </c>
      <c r="G11" s="208" t="s">
        <v>108</v>
      </c>
      <c r="H11" s="208" t="s">
        <v>108</v>
      </c>
      <c r="I11" s="208" t="s">
        <v>108</v>
      </c>
      <c r="J11" s="208" t="s">
        <v>108</v>
      </c>
      <c r="K11" s="209" t="s">
        <v>117</v>
      </c>
      <c r="L11" s="209" t="s">
        <v>117</v>
      </c>
      <c r="M11" s="393">
        <v>60</v>
      </c>
      <c r="N11" s="208" t="s">
        <v>108</v>
      </c>
      <c r="O11" s="208" t="s">
        <v>108</v>
      </c>
      <c r="P11" s="208" t="s">
        <v>108</v>
      </c>
      <c r="Q11" s="208" t="s">
        <v>108</v>
      </c>
      <c r="R11" s="208" t="s">
        <v>108</v>
      </c>
      <c r="S11" s="209" t="s">
        <v>117</v>
      </c>
      <c r="T11" s="209" t="s">
        <v>117</v>
      </c>
      <c r="U11" s="393">
        <v>60</v>
      </c>
      <c r="V11" s="208" t="s">
        <v>108</v>
      </c>
      <c r="W11" s="208" t="s">
        <v>108</v>
      </c>
      <c r="X11" s="208" t="s">
        <v>108</v>
      </c>
      <c r="Y11" s="208" t="s">
        <v>108</v>
      </c>
      <c r="Z11" s="208" t="s">
        <v>108</v>
      </c>
      <c r="AA11" s="209" t="s">
        <v>117</v>
      </c>
      <c r="AB11" s="209" t="s">
        <v>117</v>
      </c>
      <c r="AC11" s="393">
        <v>60</v>
      </c>
      <c r="AD11" s="208" t="s">
        <v>108</v>
      </c>
      <c r="AE11" s="208" t="s">
        <v>108</v>
      </c>
      <c r="AF11" s="208" t="s">
        <v>108</v>
      </c>
      <c r="AG11" s="208" t="s">
        <v>108</v>
      </c>
      <c r="AH11" s="208" t="s">
        <v>108</v>
      </c>
      <c r="AI11" s="209" t="s">
        <v>117</v>
      </c>
      <c r="AJ11" s="209" t="s">
        <v>117</v>
      </c>
      <c r="AK11" s="397">
        <v>60</v>
      </c>
      <c r="AL11" s="383" t="e">
        <f>+#REF!+M11+U11+AK11</f>
        <v>#REF!</v>
      </c>
      <c r="AM11" s="398">
        <v>20</v>
      </c>
      <c r="AS11" s="200"/>
      <c r="AT11" s="200"/>
      <c r="AU11" s="200"/>
    </row>
    <row r="12" spans="2:47">
      <c r="M12" s="200"/>
      <c r="U12" s="200"/>
      <c r="AC12" s="200"/>
      <c r="AK12" s="200"/>
      <c r="AQ12" s="388"/>
      <c r="AS12" s="200"/>
      <c r="AT12" s="200"/>
      <c r="AU12" s="200"/>
    </row>
    <row r="13" spans="2:47" ht="30" customHeight="1">
      <c r="B13" s="202" t="s">
        <v>101</v>
      </c>
      <c r="C13" s="903" t="s">
        <v>735</v>
      </c>
      <c r="D13" s="434" t="s">
        <v>610</v>
      </c>
      <c r="E13" s="202" t="s">
        <v>102</v>
      </c>
      <c r="F13" s="483" t="s">
        <v>103</v>
      </c>
      <c r="G13" s="483" t="s">
        <v>104</v>
      </c>
      <c r="H13" s="483" t="s">
        <v>104</v>
      </c>
      <c r="I13" s="483" t="s">
        <v>105</v>
      </c>
      <c r="J13" s="483" t="s">
        <v>106</v>
      </c>
      <c r="K13" s="483" t="s">
        <v>107</v>
      </c>
      <c r="L13" s="483" t="s">
        <v>108</v>
      </c>
      <c r="M13" s="820" t="s">
        <v>109</v>
      </c>
      <c r="N13" s="484" t="s">
        <v>103</v>
      </c>
      <c r="O13" s="484" t="s">
        <v>104</v>
      </c>
      <c r="P13" s="484" t="s">
        <v>104</v>
      </c>
      <c r="Q13" s="484" t="s">
        <v>105</v>
      </c>
      <c r="R13" s="484" t="s">
        <v>106</v>
      </c>
      <c r="S13" s="484" t="s">
        <v>107</v>
      </c>
      <c r="T13" s="484" t="s">
        <v>108</v>
      </c>
      <c r="U13" s="820" t="s">
        <v>109</v>
      </c>
      <c r="V13" s="485" t="s">
        <v>103</v>
      </c>
      <c r="W13" s="485" t="s">
        <v>104</v>
      </c>
      <c r="X13" s="485" t="s">
        <v>104</v>
      </c>
      <c r="Y13" s="485" t="s">
        <v>105</v>
      </c>
      <c r="Z13" s="485" t="s">
        <v>106</v>
      </c>
      <c r="AA13" s="485" t="s">
        <v>107</v>
      </c>
      <c r="AB13" s="485" t="s">
        <v>108</v>
      </c>
      <c r="AC13" s="820" t="s">
        <v>109</v>
      </c>
      <c r="AD13" s="486" t="s">
        <v>103</v>
      </c>
      <c r="AE13" s="486" t="s">
        <v>104</v>
      </c>
      <c r="AF13" s="486" t="s">
        <v>104</v>
      </c>
      <c r="AG13" s="487" t="s">
        <v>105</v>
      </c>
      <c r="AH13" s="487" t="s">
        <v>106</v>
      </c>
      <c r="AI13" s="487" t="s">
        <v>107</v>
      </c>
      <c r="AJ13" s="487" t="s">
        <v>108</v>
      </c>
      <c r="AK13" s="644" t="s">
        <v>109</v>
      </c>
      <c r="AL13" s="644" t="s">
        <v>129</v>
      </c>
      <c r="AM13" s="644" t="s">
        <v>111</v>
      </c>
      <c r="AS13" s="200"/>
      <c r="AT13" s="200"/>
      <c r="AU13" s="200"/>
    </row>
    <row r="14" spans="2:47">
      <c r="B14" s="202" t="s">
        <v>112</v>
      </c>
      <c r="C14" s="904"/>
      <c r="D14" s="196" t="s">
        <v>845</v>
      </c>
      <c r="E14" s="202" t="s">
        <v>113</v>
      </c>
      <c r="F14" s="816">
        <v>7</v>
      </c>
      <c r="G14" s="816">
        <v>8</v>
      </c>
      <c r="H14" s="816">
        <v>9</v>
      </c>
      <c r="I14" s="816">
        <v>10</v>
      </c>
      <c r="J14" s="816">
        <v>11</v>
      </c>
      <c r="K14" s="816">
        <v>12</v>
      </c>
      <c r="L14" s="816">
        <v>13</v>
      </c>
      <c r="M14" s="820"/>
      <c r="N14" s="816">
        <v>14</v>
      </c>
      <c r="O14" s="816">
        <v>15</v>
      </c>
      <c r="P14" s="816">
        <v>16</v>
      </c>
      <c r="Q14" s="816">
        <v>17</v>
      </c>
      <c r="R14" s="816">
        <v>18</v>
      </c>
      <c r="S14" s="816">
        <v>19</v>
      </c>
      <c r="T14" s="816">
        <v>20</v>
      </c>
      <c r="U14" s="820"/>
      <c r="V14" s="816">
        <v>21</v>
      </c>
      <c r="W14" s="816">
        <v>22</v>
      </c>
      <c r="X14" s="816">
        <v>23</v>
      </c>
      <c r="Y14" s="816">
        <v>24</v>
      </c>
      <c r="Z14" s="816">
        <v>25</v>
      </c>
      <c r="AA14" s="816">
        <v>26</v>
      </c>
      <c r="AB14" s="816">
        <v>27</v>
      </c>
      <c r="AC14" s="820"/>
      <c r="AD14" s="816">
        <v>28</v>
      </c>
      <c r="AE14" s="816">
        <v>29</v>
      </c>
      <c r="AF14" s="816">
        <v>30</v>
      </c>
      <c r="AG14" s="816">
        <v>1</v>
      </c>
      <c r="AH14" s="816">
        <v>2</v>
      </c>
      <c r="AI14" s="816">
        <v>3</v>
      </c>
      <c r="AJ14" s="816">
        <v>4</v>
      </c>
      <c r="AK14" s="644"/>
      <c r="AL14" s="644"/>
      <c r="AM14" s="644"/>
      <c r="AS14" s="200"/>
      <c r="AT14" s="200"/>
      <c r="AU14" s="200"/>
    </row>
    <row r="15" spans="2:47">
      <c r="B15" s="204" t="s">
        <v>42</v>
      </c>
      <c r="C15" s="905"/>
      <c r="D15" s="205" t="s">
        <v>114</v>
      </c>
      <c r="E15" s="205" t="s">
        <v>115</v>
      </c>
      <c r="F15" s="816"/>
      <c r="G15" s="816"/>
      <c r="H15" s="816"/>
      <c r="I15" s="816"/>
      <c r="J15" s="816"/>
      <c r="K15" s="816"/>
      <c r="L15" s="816"/>
      <c r="M15" s="820"/>
      <c r="N15" s="816"/>
      <c r="O15" s="816"/>
      <c r="P15" s="816"/>
      <c r="Q15" s="816"/>
      <c r="R15" s="816"/>
      <c r="S15" s="816"/>
      <c r="T15" s="816"/>
      <c r="U15" s="820"/>
      <c r="V15" s="816"/>
      <c r="W15" s="816"/>
      <c r="X15" s="816"/>
      <c r="Y15" s="816"/>
      <c r="Z15" s="816"/>
      <c r="AA15" s="816"/>
      <c r="AB15" s="816"/>
      <c r="AC15" s="820"/>
      <c r="AD15" s="816"/>
      <c r="AE15" s="816"/>
      <c r="AF15" s="816"/>
      <c r="AG15" s="816"/>
      <c r="AH15" s="816"/>
      <c r="AI15" s="816"/>
      <c r="AJ15" s="816"/>
      <c r="AK15" s="644"/>
      <c r="AL15" s="644"/>
      <c r="AM15" s="644"/>
      <c r="AS15" s="200"/>
      <c r="AT15" s="200"/>
      <c r="AU15" s="200"/>
    </row>
    <row r="16" spans="2:47">
      <c r="B16" s="206">
        <v>1</v>
      </c>
      <c r="C16" s="906" t="s">
        <v>629</v>
      </c>
      <c r="D16" s="207"/>
      <c r="E16" s="207"/>
      <c r="F16" s="211" t="s">
        <v>117</v>
      </c>
      <c r="G16" s="210" t="s">
        <v>108</v>
      </c>
      <c r="H16" s="210" t="s">
        <v>108</v>
      </c>
      <c r="I16" s="210" t="s">
        <v>116</v>
      </c>
      <c r="J16" s="210" t="s">
        <v>116</v>
      </c>
      <c r="K16" s="210" t="s">
        <v>116</v>
      </c>
      <c r="L16" s="211" t="s">
        <v>117</v>
      </c>
      <c r="M16" s="391">
        <v>60</v>
      </c>
      <c r="N16" s="211" t="s">
        <v>117</v>
      </c>
      <c r="O16" s="210" t="s">
        <v>108</v>
      </c>
      <c r="P16" s="210" t="s">
        <v>108</v>
      </c>
      <c r="Q16" s="210" t="s">
        <v>116</v>
      </c>
      <c r="R16" s="210" t="s">
        <v>116</v>
      </c>
      <c r="S16" s="210" t="s">
        <v>116</v>
      </c>
      <c r="T16" s="211" t="s">
        <v>117</v>
      </c>
      <c r="U16" s="391">
        <v>60</v>
      </c>
      <c r="V16" s="211" t="s">
        <v>117</v>
      </c>
      <c r="W16" s="210" t="s">
        <v>108</v>
      </c>
      <c r="X16" s="210" t="s">
        <v>108</v>
      </c>
      <c r="Y16" s="210" t="s">
        <v>116</v>
      </c>
      <c r="Z16" s="210" t="s">
        <v>116</v>
      </c>
      <c r="AA16" s="210" t="s">
        <v>116</v>
      </c>
      <c r="AB16" s="211" t="s">
        <v>117</v>
      </c>
      <c r="AC16" s="391">
        <v>60</v>
      </c>
      <c r="AD16" s="211" t="s">
        <v>117</v>
      </c>
      <c r="AE16" s="210" t="s">
        <v>108</v>
      </c>
      <c r="AF16" s="210" t="s">
        <v>108</v>
      </c>
      <c r="AG16" s="210" t="s">
        <v>116</v>
      </c>
      <c r="AH16" s="210" t="s">
        <v>116</v>
      </c>
      <c r="AI16" s="210" t="s">
        <v>116</v>
      </c>
      <c r="AJ16" s="211" t="s">
        <v>117</v>
      </c>
      <c r="AK16" s="399">
        <v>60</v>
      </c>
      <c r="AL16" s="383" t="e">
        <f>+#REF!+M16+U16+AK16</f>
        <v>#REF!</v>
      </c>
      <c r="AM16" s="398">
        <v>20</v>
      </c>
      <c r="AS16" s="200"/>
      <c r="AT16" s="200"/>
      <c r="AU16" s="200"/>
    </row>
    <row r="17" spans="2:47">
      <c r="B17" s="206">
        <v>2</v>
      </c>
      <c r="C17" s="907"/>
      <c r="D17" s="207" t="s">
        <v>884</v>
      </c>
      <c r="E17" s="207" t="s">
        <v>885</v>
      </c>
      <c r="F17" s="210" t="s">
        <v>116</v>
      </c>
      <c r="G17" s="210" t="s">
        <v>116</v>
      </c>
      <c r="H17" s="212" t="s">
        <v>117</v>
      </c>
      <c r="I17" s="212" t="s">
        <v>117</v>
      </c>
      <c r="J17" s="210" t="s">
        <v>108</v>
      </c>
      <c r="K17" s="210" t="s">
        <v>108</v>
      </c>
      <c r="L17" s="210" t="s">
        <v>108</v>
      </c>
      <c r="M17" s="390">
        <v>60</v>
      </c>
      <c r="N17" s="210" t="s">
        <v>116</v>
      </c>
      <c r="O17" s="210" t="s">
        <v>116</v>
      </c>
      <c r="P17" s="212" t="s">
        <v>117</v>
      </c>
      <c r="Q17" s="212" t="s">
        <v>117</v>
      </c>
      <c r="R17" s="210" t="s">
        <v>108</v>
      </c>
      <c r="S17" s="210" t="s">
        <v>108</v>
      </c>
      <c r="T17" s="210" t="s">
        <v>108</v>
      </c>
      <c r="U17" s="390">
        <v>60</v>
      </c>
      <c r="V17" s="210" t="s">
        <v>116</v>
      </c>
      <c r="W17" s="210" t="s">
        <v>116</v>
      </c>
      <c r="X17" s="212" t="s">
        <v>117</v>
      </c>
      <c r="Y17" s="212" t="s">
        <v>117</v>
      </c>
      <c r="Z17" s="210" t="s">
        <v>108</v>
      </c>
      <c r="AA17" s="210" t="s">
        <v>108</v>
      </c>
      <c r="AB17" s="210" t="s">
        <v>108</v>
      </c>
      <c r="AC17" s="390">
        <v>60</v>
      </c>
      <c r="AD17" s="210" t="s">
        <v>116</v>
      </c>
      <c r="AE17" s="210" t="s">
        <v>116</v>
      </c>
      <c r="AF17" s="212" t="s">
        <v>117</v>
      </c>
      <c r="AG17" s="212" t="s">
        <v>117</v>
      </c>
      <c r="AH17" s="210" t="s">
        <v>108</v>
      </c>
      <c r="AI17" s="210" t="s">
        <v>108</v>
      </c>
      <c r="AJ17" s="210" t="s">
        <v>108</v>
      </c>
      <c r="AK17" s="397">
        <v>60</v>
      </c>
      <c r="AL17" s="383" t="e">
        <f>+#REF!+M17+U17+AK17</f>
        <v>#REF!</v>
      </c>
      <c r="AM17" s="398">
        <v>20</v>
      </c>
      <c r="AS17" s="200"/>
      <c r="AT17" s="200"/>
      <c r="AU17" s="200"/>
    </row>
    <row r="18" spans="2:47">
      <c r="B18" s="206">
        <v>3</v>
      </c>
      <c r="C18" s="907"/>
      <c r="D18" s="207" t="s">
        <v>626</v>
      </c>
      <c r="E18" s="207" t="s">
        <v>796</v>
      </c>
      <c r="F18" s="210" t="s">
        <v>108</v>
      </c>
      <c r="G18" s="210" t="s">
        <v>108</v>
      </c>
      <c r="H18" s="210" t="s">
        <v>116</v>
      </c>
      <c r="I18" s="210" t="s">
        <v>116</v>
      </c>
      <c r="J18" s="210" t="s">
        <v>116</v>
      </c>
      <c r="K18" s="212" t="s">
        <v>117</v>
      </c>
      <c r="L18" s="212" t="s">
        <v>117</v>
      </c>
      <c r="M18" s="390">
        <v>60</v>
      </c>
      <c r="N18" s="210" t="s">
        <v>108</v>
      </c>
      <c r="O18" s="210" t="s">
        <v>108</v>
      </c>
      <c r="P18" s="210" t="s">
        <v>116</v>
      </c>
      <c r="Q18" s="210" t="s">
        <v>116</v>
      </c>
      <c r="R18" s="210" t="s">
        <v>116</v>
      </c>
      <c r="S18" s="212" t="s">
        <v>117</v>
      </c>
      <c r="T18" s="212" t="s">
        <v>117</v>
      </c>
      <c r="U18" s="390">
        <v>60</v>
      </c>
      <c r="V18" s="210" t="s">
        <v>108</v>
      </c>
      <c r="W18" s="210" t="s">
        <v>108</v>
      </c>
      <c r="X18" s="210" t="s">
        <v>116</v>
      </c>
      <c r="Y18" s="210" t="s">
        <v>116</v>
      </c>
      <c r="Z18" s="210" t="s">
        <v>116</v>
      </c>
      <c r="AA18" s="212" t="s">
        <v>117</v>
      </c>
      <c r="AB18" s="212" t="s">
        <v>117</v>
      </c>
      <c r="AC18" s="390">
        <v>60</v>
      </c>
      <c r="AD18" s="210" t="s">
        <v>108</v>
      </c>
      <c r="AE18" s="210" t="s">
        <v>108</v>
      </c>
      <c r="AF18" s="210" t="s">
        <v>116</v>
      </c>
      <c r="AG18" s="210" t="s">
        <v>116</v>
      </c>
      <c r="AH18" s="210" t="s">
        <v>116</v>
      </c>
      <c r="AI18" s="212" t="s">
        <v>117</v>
      </c>
      <c r="AJ18" s="212" t="s">
        <v>117</v>
      </c>
      <c r="AK18" s="397">
        <v>60</v>
      </c>
      <c r="AL18" s="383" t="e">
        <f>+#REF!+M18+U18+AK18</f>
        <v>#REF!</v>
      </c>
      <c r="AM18" s="398">
        <v>20</v>
      </c>
      <c r="AS18" s="200"/>
      <c r="AT18" s="200"/>
      <c r="AU18" s="200"/>
    </row>
    <row r="19" spans="2:47">
      <c r="B19" s="206">
        <v>4</v>
      </c>
      <c r="C19" s="907"/>
      <c r="D19" s="207" t="s">
        <v>614</v>
      </c>
      <c r="E19" s="207" t="s">
        <v>615</v>
      </c>
      <c r="F19" s="944" t="s">
        <v>117</v>
      </c>
      <c r="G19" s="944" t="s">
        <v>117</v>
      </c>
      <c r="H19" s="944" t="s">
        <v>108</v>
      </c>
      <c r="I19" s="944" t="s">
        <v>108</v>
      </c>
      <c r="J19" s="944" t="s">
        <v>116</v>
      </c>
      <c r="K19" s="944" t="s">
        <v>116</v>
      </c>
      <c r="L19" s="944" t="s">
        <v>116</v>
      </c>
      <c r="M19" s="390">
        <v>60</v>
      </c>
      <c r="N19" s="212" t="s">
        <v>117</v>
      </c>
      <c r="O19" s="212" t="s">
        <v>117</v>
      </c>
      <c r="P19" s="210" t="s">
        <v>108</v>
      </c>
      <c r="Q19" s="210" t="s">
        <v>108</v>
      </c>
      <c r="R19" s="210" t="s">
        <v>116</v>
      </c>
      <c r="S19" s="210" t="s">
        <v>116</v>
      </c>
      <c r="T19" s="210" t="s">
        <v>116</v>
      </c>
      <c r="U19" s="390">
        <v>60</v>
      </c>
      <c r="V19" s="212" t="s">
        <v>117</v>
      </c>
      <c r="W19" s="212" t="s">
        <v>117</v>
      </c>
      <c r="X19" s="210" t="s">
        <v>108</v>
      </c>
      <c r="Y19" s="210" t="s">
        <v>108</v>
      </c>
      <c r="Z19" s="210" t="s">
        <v>116</v>
      </c>
      <c r="AA19" s="210" t="s">
        <v>116</v>
      </c>
      <c r="AB19" s="210" t="s">
        <v>116</v>
      </c>
      <c r="AC19" s="390">
        <v>60</v>
      </c>
      <c r="AD19" s="212" t="s">
        <v>117</v>
      </c>
      <c r="AE19" s="212" t="s">
        <v>117</v>
      </c>
      <c r="AF19" s="210" t="s">
        <v>108</v>
      </c>
      <c r="AG19" s="210" t="s">
        <v>108</v>
      </c>
      <c r="AH19" s="210" t="s">
        <v>116</v>
      </c>
      <c r="AI19" s="210" t="s">
        <v>116</v>
      </c>
      <c r="AJ19" s="210" t="s">
        <v>116</v>
      </c>
      <c r="AK19" s="397">
        <v>60</v>
      </c>
      <c r="AL19" s="383" t="e">
        <f>+#REF!+M19+U19+AK19</f>
        <v>#REF!</v>
      </c>
      <c r="AM19" s="398">
        <v>20</v>
      </c>
      <c r="AS19" s="200"/>
      <c r="AT19" s="200"/>
      <c r="AU19" s="200"/>
    </row>
    <row r="20" spans="2:47">
      <c r="B20" s="206">
        <v>5</v>
      </c>
      <c r="C20" s="907"/>
      <c r="D20" s="207" t="s">
        <v>779</v>
      </c>
      <c r="E20" s="207" t="s">
        <v>780</v>
      </c>
      <c r="F20" s="210" t="s">
        <v>108</v>
      </c>
      <c r="G20" s="210" t="s">
        <v>116</v>
      </c>
      <c r="H20" s="210" t="s">
        <v>116</v>
      </c>
      <c r="I20" s="210" t="s">
        <v>116</v>
      </c>
      <c r="J20" s="211" t="s">
        <v>117</v>
      </c>
      <c r="K20" s="211" t="s">
        <v>117</v>
      </c>
      <c r="L20" s="210" t="s">
        <v>108</v>
      </c>
      <c r="M20" s="390">
        <v>60</v>
      </c>
      <c r="N20" s="210" t="s">
        <v>108</v>
      </c>
      <c r="O20" s="210" t="s">
        <v>116</v>
      </c>
      <c r="P20" s="210" t="s">
        <v>116</v>
      </c>
      <c r="Q20" s="210" t="s">
        <v>116</v>
      </c>
      <c r="R20" s="211" t="s">
        <v>117</v>
      </c>
      <c r="S20" s="211" t="s">
        <v>117</v>
      </c>
      <c r="T20" s="210" t="s">
        <v>108</v>
      </c>
      <c r="U20" s="390">
        <v>60</v>
      </c>
      <c r="V20" s="210" t="s">
        <v>108</v>
      </c>
      <c r="W20" s="210" t="s">
        <v>116</v>
      </c>
      <c r="X20" s="210" t="s">
        <v>116</v>
      </c>
      <c r="Y20" s="210" t="s">
        <v>116</v>
      </c>
      <c r="Z20" s="211" t="s">
        <v>117</v>
      </c>
      <c r="AA20" s="211" t="s">
        <v>117</v>
      </c>
      <c r="AB20" s="210" t="s">
        <v>108</v>
      </c>
      <c r="AC20" s="390">
        <v>60</v>
      </c>
      <c r="AD20" s="210" t="s">
        <v>108</v>
      </c>
      <c r="AE20" s="210" t="s">
        <v>116</v>
      </c>
      <c r="AF20" s="210" t="s">
        <v>116</v>
      </c>
      <c r="AG20" s="210" t="s">
        <v>116</v>
      </c>
      <c r="AH20" s="211" t="s">
        <v>117</v>
      </c>
      <c r="AI20" s="211" t="s">
        <v>117</v>
      </c>
      <c r="AJ20" s="210" t="s">
        <v>108</v>
      </c>
      <c r="AK20" s="397">
        <v>60</v>
      </c>
      <c r="AL20" s="383" t="e">
        <f>+#REF!+M20+U20+AK20</f>
        <v>#REF!</v>
      </c>
      <c r="AM20" s="398">
        <v>20</v>
      </c>
      <c r="AS20" s="200"/>
      <c r="AT20" s="200"/>
      <c r="AU20" s="200"/>
    </row>
    <row r="21" spans="2:47">
      <c r="B21" s="206">
        <v>6</v>
      </c>
      <c r="C21" s="907"/>
      <c r="D21" s="207" t="s">
        <v>561</v>
      </c>
      <c r="E21" s="207" t="s">
        <v>613</v>
      </c>
      <c r="F21" s="208" t="s">
        <v>116</v>
      </c>
      <c r="G21" s="213" t="s">
        <v>116</v>
      </c>
      <c r="H21" s="213" t="s">
        <v>116</v>
      </c>
      <c r="I21" s="209" t="s">
        <v>117</v>
      </c>
      <c r="J21" s="209" t="s">
        <v>117</v>
      </c>
      <c r="K21" s="208" t="s">
        <v>108</v>
      </c>
      <c r="L21" s="208" t="s">
        <v>108</v>
      </c>
      <c r="M21" s="390">
        <v>60</v>
      </c>
      <c r="N21" s="208" t="s">
        <v>116</v>
      </c>
      <c r="O21" s="213" t="s">
        <v>116</v>
      </c>
      <c r="P21" s="213" t="s">
        <v>116</v>
      </c>
      <c r="Q21" s="209" t="s">
        <v>117</v>
      </c>
      <c r="R21" s="209" t="s">
        <v>117</v>
      </c>
      <c r="S21" s="208" t="s">
        <v>108</v>
      </c>
      <c r="T21" s="208" t="s">
        <v>108</v>
      </c>
      <c r="U21" s="390">
        <v>60</v>
      </c>
      <c r="V21" s="208" t="s">
        <v>116</v>
      </c>
      <c r="W21" s="213" t="s">
        <v>116</v>
      </c>
      <c r="X21" s="213" t="s">
        <v>116</v>
      </c>
      <c r="Y21" s="209" t="s">
        <v>117</v>
      </c>
      <c r="Z21" s="209" t="s">
        <v>117</v>
      </c>
      <c r="AA21" s="208" t="s">
        <v>108</v>
      </c>
      <c r="AB21" s="208" t="s">
        <v>108</v>
      </c>
      <c r="AC21" s="390">
        <v>60</v>
      </c>
      <c r="AD21" s="208" t="s">
        <v>116</v>
      </c>
      <c r="AE21" s="213" t="s">
        <v>116</v>
      </c>
      <c r="AF21" s="213" t="s">
        <v>116</v>
      </c>
      <c r="AG21" s="209" t="s">
        <v>117</v>
      </c>
      <c r="AH21" s="209" t="s">
        <v>117</v>
      </c>
      <c r="AI21" s="208" t="s">
        <v>108</v>
      </c>
      <c r="AJ21" s="208" t="s">
        <v>108</v>
      </c>
      <c r="AK21" s="397">
        <v>60</v>
      </c>
      <c r="AL21" s="383" t="e">
        <f>+#REF!+M21+U21+AK21</f>
        <v>#REF!</v>
      </c>
      <c r="AM21" s="398">
        <v>20</v>
      </c>
      <c r="AS21" s="200"/>
      <c r="AT21" s="200"/>
      <c r="AU21" s="200"/>
    </row>
    <row r="22" spans="2:47">
      <c r="B22" s="206">
        <v>7</v>
      </c>
      <c r="C22" s="908"/>
      <c r="D22" s="207" t="s">
        <v>611</v>
      </c>
      <c r="E22" s="207" t="s">
        <v>612</v>
      </c>
      <c r="F22" s="946" t="s">
        <v>116</v>
      </c>
      <c r="G22" s="947" t="s">
        <v>117</v>
      </c>
      <c r="H22" s="947" t="s">
        <v>117</v>
      </c>
      <c r="I22" s="946" t="s">
        <v>108</v>
      </c>
      <c r="J22" s="946" t="s">
        <v>108</v>
      </c>
      <c r="K22" s="947" t="s">
        <v>116</v>
      </c>
      <c r="L22" s="947" t="s">
        <v>116</v>
      </c>
      <c r="M22" s="390">
        <v>60</v>
      </c>
      <c r="N22" s="213" t="s">
        <v>116</v>
      </c>
      <c r="O22" s="209" t="s">
        <v>117</v>
      </c>
      <c r="P22" s="209" t="s">
        <v>117</v>
      </c>
      <c r="Q22" s="213" t="s">
        <v>108</v>
      </c>
      <c r="R22" s="213" t="s">
        <v>108</v>
      </c>
      <c r="S22" s="208" t="s">
        <v>116</v>
      </c>
      <c r="T22" s="208" t="s">
        <v>116</v>
      </c>
      <c r="U22" s="390">
        <v>60</v>
      </c>
      <c r="V22" s="213" t="s">
        <v>116</v>
      </c>
      <c r="W22" s="209" t="s">
        <v>117</v>
      </c>
      <c r="X22" s="209" t="s">
        <v>117</v>
      </c>
      <c r="Y22" s="213" t="s">
        <v>108</v>
      </c>
      <c r="Z22" s="213" t="s">
        <v>108</v>
      </c>
      <c r="AA22" s="208" t="s">
        <v>116</v>
      </c>
      <c r="AB22" s="208" t="s">
        <v>116</v>
      </c>
      <c r="AC22" s="390">
        <v>60</v>
      </c>
      <c r="AD22" s="213" t="s">
        <v>116</v>
      </c>
      <c r="AE22" s="209" t="s">
        <v>117</v>
      </c>
      <c r="AF22" s="209" t="s">
        <v>117</v>
      </c>
      <c r="AG22" s="213" t="s">
        <v>108</v>
      </c>
      <c r="AH22" s="213" t="s">
        <v>108</v>
      </c>
      <c r="AI22" s="208" t="s">
        <v>116</v>
      </c>
      <c r="AJ22" s="208" t="s">
        <v>116</v>
      </c>
      <c r="AK22" s="397">
        <v>60</v>
      </c>
      <c r="AL22" s="383" t="e">
        <f>+#REF!+M22+U22+AK22</f>
        <v>#REF!</v>
      </c>
      <c r="AM22" s="398">
        <v>20</v>
      </c>
      <c r="AS22" s="200"/>
      <c r="AT22" s="200"/>
      <c r="AU22" s="200"/>
    </row>
    <row r="23" spans="2:47">
      <c r="B23" s="201"/>
      <c r="C23" s="201"/>
      <c r="D23" s="201"/>
      <c r="AK23" s="395"/>
      <c r="AL23" s="395"/>
      <c r="AM23" s="395"/>
      <c r="AS23" s="200"/>
      <c r="AT23" s="200"/>
      <c r="AU23" s="200"/>
    </row>
    <row r="24" spans="2:47" ht="15.75" customHeight="1">
      <c r="B24" s="202" t="s">
        <v>101</v>
      </c>
      <c r="C24" s="903" t="s">
        <v>735</v>
      </c>
      <c r="D24" s="202" t="s">
        <v>616</v>
      </c>
      <c r="E24" s="202" t="s">
        <v>102</v>
      </c>
      <c r="F24" s="483" t="s">
        <v>103</v>
      </c>
      <c r="G24" s="483" t="s">
        <v>104</v>
      </c>
      <c r="H24" s="483" t="s">
        <v>104</v>
      </c>
      <c r="I24" s="483" t="s">
        <v>105</v>
      </c>
      <c r="J24" s="483" t="s">
        <v>106</v>
      </c>
      <c r="K24" s="483" t="s">
        <v>107</v>
      </c>
      <c r="L24" s="483" t="s">
        <v>108</v>
      </c>
      <c r="M24" s="820" t="s">
        <v>109</v>
      </c>
      <c r="N24" s="484" t="s">
        <v>103</v>
      </c>
      <c r="O24" s="484" t="s">
        <v>104</v>
      </c>
      <c r="P24" s="484" t="s">
        <v>104</v>
      </c>
      <c r="Q24" s="484" t="s">
        <v>105</v>
      </c>
      <c r="R24" s="484" t="s">
        <v>106</v>
      </c>
      <c r="S24" s="484" t="s">
        <v>107</v>
      </c>
      <c r="T24" s="484" t="s">
        <v>108</v>
      </c>
      <c r="U24" s="820" t="s">
        <v>109</v>
      </c>
      <c r="V24" s="485" t="s">
        <v>103</v>
      </c>
      <c r="W24" s="485" t="s">
        <v>104</v>
      </c>
      <c r="X24" s="485" t="s">
        <v>104</v>
      </c>
      <c r="Y24" s="485" t="s">
        <v>105</v>
      </c>
      <c r="Z24" s="485" t="s">
        <v>106</v>
      </c>
      <c r="AA24" s="485" t="s">
        <v>107</v>
      </c>
      <c r="AB24" s="485" t="s">
        <v>108</v>
      </c>
      <c r="AC24" s="820" t="s">
        <v>109</v>
      </c>
      <c r="AD24" s="486" t="s">
        <v>103</v>
      </c>
      <c r="AE24" s="486" t="s">
        <v>104</v>
      </c>
      <c r="AF24" s="486" t="s">
        <v>104</v>
      </c>
      <c r="AG24" s="487" t="s">
        <v>105</v>
      </c>
      <c r="AH24" s="487" t="s">
        <v>106</v>
      </c>
      <c r="AI24" s="487" t="s">
        <v>107</v>
      </c>
      <c r="AJ24" s="487" t="s">
        <v>108</v>
      </c>
      <c r="AK24" s="644" t="s">
        <v>109</v>
      </c>
      <c r="AL24" s="644" t="s">
        <v>129</v>
      </c>
      <c r="AM24" s="644" t="s">
        <v>111</v>
      </c>
      <c r="AS24" s="200"/>
      <c r="AT24" s="200"/>
      <c r="AU24" s="200"/>
    </row>
    <row r="25" spans="2:47">
      <c r="B25" s="202" t="s">
        <v>112</v>
      </c>
      <c r="C25" s="904"/>
      <c r="D25" s="196" t="s">
        <v>845</v>
      </c>
      <c r="E25" s="202" t="s">
        <v>113</v>
      </c>
      <c r="F25" s="816">
        <v>7</v>
      </c>
      <c r="G25" s="816">
        <v>8</v>
      </c>
      <c r="H25" s="816">
        <v>9</v>
      </c>
      <c r="I25" s="816">
        <v>10</v>
      </c>
      <c r="J25" s="816">
        <v>11</v>
      </c>
      <c r="K25" s="816">
        <v>12</v>
      </c>
      <c r="L25" s="816">
        <v>13</v>
      </c>
      <c r="M25" s="820"/>
      <c r="N25" s="816">
        <v>14</v>
      </c>
      <c r="O25" s="816">
        <v>15</v>
      </c>
      <c r="P25" s="816">
        <v>16</v>
      </c>
      <c r="Q25" s="816">
        <v>17</v>
      </c>
      <c r="R25" s="816">
        <v>18</v>
      </c>
      <c r="S25" s="816">
        <v>19</v>
      </c>
      <c r="T25" s="816">
        <v>20</v>
      </c>
      <c r="U25" s="820"/>
      <c r="V25" s="816">
        <v>21</v>
      </c>
      <c r="W25" s="816">
        <v>22</v>
      </c>
      <c r="X25" s="816">
        <v>23</v>
      </c>
      <c r="Y25" s="816">
        <v>24</v>
      </c>
      <c r="Z25" s="816">
        <v>25</v>
      </c>
      <c r="AA25" s="816">
        <v>26</v>
      </c>
      <c r="AB25" s="816">
        <v>27</v>
      </c>
      <c r="AC25" s="820"/>
      <c r="AD25" s="816">
        <v>28</v>
      </c>
      <c r="AE25" s="816">
        <v>29</v>
      </c>
      <c r="AF25" s="816">
        <v>30</v>
      </c>
      <c r="AG25" s="816">
        <v>1</v>
      </c>
      <c r="AH25" s="816">
        <v>2</v>
      </c>
      <c r="AI25" s="816">
        <v>3</v>
      </c>
      <c r="AJ25" s="816">
        <v>4</v>
      </c>
      <c r="AK25" s="644"/>
      <c r="AL25" s="644"/>
      <c r="AM25" s="644"/>
      <c r="AS25" s="200"/>
      <c r="AT25" s="200"/>
      <c r="AU25" s="200"/>
    </row>
    <row r="26" spans="2:47">
      <c r="B26" s="204" t="s">
        <v>42</v>
      </c>
      <c r="C26" s="905"/>
      <c r="D26" s="205" t="s">
        <v>114</v>
      </c>
      <c r="E26" s="205" t="s">
        <v>115</v>
      </c>
      <c r="F26" s="816"/>
      <c r="G26" s="816"/>
      <c r="H26" s="816"/>
      <c r="I26" s="816"/>
      <c r="J26" s="816"/>
      <c r="K26" s="816"/>
      <c r="L26" s="816"/>
      <c r="M26" s="820"/>
      <c r="N26" s="816"/>
      <c r="O26" s="816"/>
      <c r="P26" s="816"/>
      <c r="Q26" s="816"/>
      <c r="R26" s="816"/>
      <c r="S26" s="816"/>
      <c r="T26" s="816"/>
      <c r="U26" s="820"/>
      <c r="V26" s="816"/>
      <c r="W26" s="816"/>
      <c r="X26" s="816"/>
      <c r="Y26" s="816"/>
      <c r="Z26" s="816"/>
      <c r="AA26" s="816"/>
      <c r="AB26" s="816"/>
      <c r="AC26" s="820"/>
      <c r="AD26" s="816"/>
      <c r="AE26" s="816"/>
      <c r="AF26" s="816"/>
      <c r="AG26" s="816"/>
      <c r="AH26" s="816"/>
      <c r="AI26" s="816"/>
      <c r="AJ26" s="816"/>
      <c r="AK26" s="644"/>
      <c r="AL26" s="644"/>
      <c r="AM26" s="644"/>
      <c r="AS26" s="200"/>
      <c r="AT26" s="200"/>
      <c r="AU26" s="200"/>
    </row>
    <row r="27" spans="2:47">
      <c r="B27" s="206">
        <v>1</v>
      </c>
      <c r="C27" s="206" t="s">
        <v>737</v>
      </c>
      <c r="D27" s="207" t="s">
        <v>617</v>
      </c>
      <c r="E27" s="207" t="s">
        <v>618</v>
      </c>
      <c r="F27" s="210" t="s">
        <v>108</v>
      </c>
      <c r="G27" s="210" t="s">
        <v>108</v>
      </c>
      <c r="H27" s="210" t="s">
        <v>108</v>
      </c>
      <c r="I27" s="210" t="s">
        <v>108</v>
      </c>
      <c r="J27" s="210" t="s">
        <v>108</v>
      </c>
      <c r="K27" s="212" t="s">
        <v>117</v>
      </c>
      <c r="L27" s="212" t="s">
        <v>117</v>
      </c>
      <c r="M27" s="391">
        <v>60</v>
      </c>
      <c r="N27" s="210" t="s">
        <v>108</v>
      </c>
      <c r="O27" s="210" t="s">
        <v>108</v>
      </c>
      <c r="P27" s="210" t="s">
        <v>108</v>
      </c>
      <c r="Q27" s="210" t="s">
        <v>108</v>
      </c>
      <c r="R27" s="210" t="s">
        <v>108</v>
      </c>
      <c r="S27" s="212" t="s">
        <v>117</v>
      </c>
      <c r="T27" s="212" t="s">
        <v>117</v>
      </c>
      <c r="U27" s="391">
        <v>60</v>
      </c>
      <c r="V27" s="210" t="s">
        <v>108</v>
      </c>
      <c r="W27" s="210" t="s">
        <v>108</v>
      </c>
      <c r="X27" s="210" t="s">
        <v>108</v>
      </c>
      <c r="Y27" s="210" t="s">
        <v>108</v>
      </c>
      <c r="Z27" s="210" t="s">
        <v>108</v>
      </c>
      <c r="AA27" s="212" t="s">
        <v>117</v>
      </c>
      <c r="AB27" s="212" t="s">
        <v>117</v>
      </c>
      <c r="AC27" s="391">
        <v>60</v>
      </c>
      <c r="AD27" s="210" t="s">
        <v>108</v>
      </c>
      <c r="AE27" s="210" t="s">
        <v>108</v>
      </c>
      <c r="AF27" s="210" t="s">
        <v>108</v>
      </c>
      <c r="AG27" s="210" t="s">
        <v>108</v>
      </c>
      <c r="AH27" s="210" t="s">
        <v>108</v>
      </c>
      <c r="AI27" s="212" t="s">
        <v>117</v>
      </c>
      <c r="AJ27" s="212" t="s">
        <v>117</v>
      </c>
      <c r="AK27" s="399">
        <v>60</v>
      </c>
      <c r="AL27" s="383" t="e">
        <f>+#REF!+M27+U27+AK27</f>
        <v>#REF!</v>
      </c>
      <c r="AM27" s="398">
        <v>20</v>
      </c>
      <c r="AS27" s="200"/>
      <c r="AT27" s="200"/>
      <c r="AU27" s="200"/>
    </row>
    <row r="28" spans="2:47">
      <c r="B28" s="206">
        <v>2</v>
      </c>
      <c r="C28" s="206" t="s">
        <v>738</v>
      </c>
      <c r="D28" s="207" t="s">
        <v>619</v>
      </c>
      <c r="E28" s="207" t="s">
        <v>620</v>
      </c>
      <c r="F28" s="210" t="s">
        <v>108</v>
      </c>
      <c r="G28" s="210" t="s">
        <v>108</v>
      </c>
      <c r="H28" s="212" t="s">
        <v>117</v>
      </c>
      <c r="I28" s="212" t="s">
        <v>117</v>
      </c>
      <c r="J28" s="210" t="s">
        <v>108</v>
      </c>
      <c r="K28" s="210" t="s">
        <v>108</v>
      </c>
      <c r="L28" s="210" t="s">
        <v>108</v>
      </c>
      <c r="M28" s="390">
        <v>60</v>
      </c>
      <c r="N28" s="210" t="s">
        <v>108</v>
      </c>
      <c r="O28" s="210" t="s">
        <v>108</v>
      </c>
      <c r="P28" s="212" t="s">
        <v>117</v>
      </c>
      <c r="Q28" s="212" t="s">
        <v>117</v>
      </c>
      <c r="R28" s="210" t="s">
        <v>108</v>
      </c>
      <c r="S28" s="210" t="s">
        <v>108</v>
      </c>
      <c r="T28" s="210" t="s">
        <v>108</v>
      </c>
      <c r="U28" s="390">
        <v>60</v>
      </c>
      <c r="V28" s="210" t="s">
        <v>108</v>
      </c>
      <c r="W28" s="210" t="s">
        <v>108</v>
      </c>
      <c r="X28" s="212" t="s">
        <v>117</v>
      </c>
      <c r="Y28" s="212" t="s">
        <v>117</v>
      </c>
      <c r="Z28" s="210" t="s">
        <v>108</v>
      </c>
      <c r="AA28" s="210" t="s">
        <v>108</v>
      </c>
      <c r="AB28" s="210" t="s">
        <v>108</v>
      </c>
      <c r="AC28" s="390">
        <v>60</v>
      </c>
      <c r="AD28" s="210" t="s">
        <v>108</v>
      </c>
      <c r="AE28" s="210" t="s">
        <v>108</v>
      </c>
      <c r="AF28" s="212" t="s">
        <v>117</v>
      </c>
      <c r="AG28" s="212" t="s">
        <v>117</v>
      </c>
      <c r="AH28" s="210" t="s">
        <v>108</v>
      </c>
      <c r="AI28" s="210" t="s">
        <v>108</v>
      </c>
      <c r="AJ28" s="210" t="s">
        <v>108</v>
      </c>
      <c r="AK28" s="397">
        <v>60</v>
      </c>
      <c r="AL28" s="383" t="e">
        <f>+#REF!+M28+U28+AK28</f>
        <v>#REF!</v>
      </c>
      <c r="AM28" s="398">
        <v>20</v>
      </c>
      <c r="AS28" s="200"/>
      <c r="AT28" s="200"/>
      <c r="AU28" s="200"/>
    </row>
    <row r="29" spans="2:47">
      <c r="B29" s="206">
        <v>3</v>
      </c>
      <c r="C29" s="206" t="s">
        <v>149</v>
      </c>
      <c r="D29" s="207" t="s">
        <v>781</v>
      </c>
      <c r="E29" s="207" t="s">
        <v>782</v>
      </c>
      <c r="F29" s="212" t="s">
        <v>117</v>
      </c>
      <c r="G29" s="210" t="s">
        <v>108</v>
      </c>
      <c r="H29" s="210" t="s">
        <v>108</v>
      </c>
      <c r="I29" s="210" t="s">
        <v>108</v>
      </c>
      <c r="J29" s="210" t="s">
        <v>108</v>
      </c>
      <c r="K29" s="214" t="s">
        <v>108</v>
      </c>
      <c r="L29" s="212" t="s">
        <v>117</v>
      </c>
      <c r="M29" s="390">
        <v>60</v>
      </c>
      <c r="N29" s="212" t="s">
        <v>117</v>
      </c>
      <c r="O29" s="210" t="s">
        <v>108</v>
      </c>
      <c r="P29" s="210" t="s">
        <v>108</v>
      </c>
      <c r="Q29" s="210" t="s">
        <v>108</v>
      </c>
      <c r="R29" s="210" t="s">
        <v>108</v>
      </c>
      <c r="S29" s="214" t="s">
        <v>108</v>
      </c>
      <c r="T29" s="212" t="s">
        <v>117</v>
      </c>
      <c r="U29" s="390">
        <v>60</v>
      </c>
      <c r="V29" s="212" t="s">
        <v>117</v>
      </c>
      <c r="W29" s="210" t="s">
        <v>108</v>
      </c>
      <c r="X29" s="210" t="s">
        <v>108</v>
      </c>
      <c r="Y29" s="210" t="s">
        <v>108</v>
      </c>
      <c r="Z29" s="210" t="s">
        <v>108</v>
      </c>
      <c r="AA29" s="214" t="s">
        <v>108</v>
      </c>
      <c r="AB29" s="212" t="s">
        <v>117</v>
      </c>
      <c r="AC29" s="390">
        <v>60</v>
      </c>
      <c r="AD29" s="212" t="s">
        <v>117</v>
      </c>
      <c r="AE29" s="210" t="s">
        <v>108</v>
      </c>
      <c r="AF29" s="210" t="s">
        <v>108</v>
      </c>
      <c r="AG29" s="210" t="s">
        <v>108</v>
      </c>
      <c r="AH29" s="210" t="s">
        <v>108</v>
      </c>
      <c r="AI29" s="214" t="s">
        <v>108</v>
      </c>
      <c r="AJ29" s="212" t="s">
        <v>117</v>
      </c>
      <c r="AK29" s="397">
        <v>60</v>
      </c>
      <c r="AL29" s="383" t="e">
        <f>+#REF!+M29+U29+AK29</f>
        <v>#REF!</v>
      </c>
      <c r="AM29" s="398">
        <v>20</v>
      </c>
      <c r="AS29" s="200"/>
      <c r="AT29" s="200"/>
      <c r="AU29" s="200"/>
    </row>
    <row r="30" spans="2:47">
      <c r="B30" s="206">
        <v>4</v>
      </c>
      <c r="C30" s="206" t="s">
        <v>739</v>
      </c>
      <c r="D30" s="207" t="s">
        <v>438</v>
      </c>
      <c r="E30" s="207" t="s">
        <v>621</v>
      </c>
      <c r="F30" s="212" t="s">
        <v>117</v>
      </c>
      <c r="G30" s="212" t="s">
        <v>117</v>
      </c>
      <c r="H30" s="210" t="s">
        <v>108</v>
      </c>
      <c r="I30" s="210" t="s">
        <v>108</v>
      </c>
      <c r="J30" s="210" t="s">
        <v>108</v>
      </c>
      <c r="K30" s="210" t="s">
        <v>108</v>
      </c>
      <c r="L30" s="210" t="s">
        <v>108</v>
      </c>
      <c r="M30" s="390">
        <v>60</v>
      </c>
      <c r="N30" s="212" t="s">
        <v>117</v>
      </c>
      <c r="O30" s="212" t="s">
        <v>117</v>
      </c>
      <c r="P30" s="210" t="s">
        <v>108</v>
      </c>
      <c r="Q30" s="210" t="s">
        <v>108</v>
      </c>
      <c r="R30" s="210" t="s">
        <v>108</v>
      </c>
      <c r="S30" s="210" t="s">
        <v>108</v>
      </c>
      <c r="T30" s="210" t="s">
        <v>108</v>
      </c>
      <c r="U30" s="390">
        <v>60</v>
      </c>
      <c r="V30" s="212" t="s">
        <v>117</v>
      </c>
      <c r="W30" s="212" t="s">
        <v>117</v>
      </c>
      <c r="X30" s="210" t="s">
        <v>108</v>
      </c>
      <c r="Y30" s="210" t="s">
        <v>108</v>
      </c>
      <c r="Z30" s="210" t="s">
        <v>108</v>
      </c>
      <c r="AA30" s="210" t="s">
        <v>108</v>
      </c>
      <c r="AB30" s="210" t="s">
        <v>108</v>
      </c>
      <c r="AC30" s="390">
        <v>60</v>
      </c>
      <c r="AD30" s="212" t="s">
        <v>117</v>
      </c>
      <c r="AE30" s="212" t="s">
        <v>117</v>
      </c>
      <c r="AF30" s="210" t="s">
        <v>108</v>
      </c>
      <c r="AG30" s="210" t="s">
        <v>108</v>
      </c>
      <c r="AH30" s="210" t="s">
        <v>108</v>
      </c>
      <c r="AI30" s="210" t="s">
        <v>108</v>
      </c>
      <c r="AJ30" s="210" t="s">
        <v>108</v>
      </c>
      <c r="AK30" s="397">
        <v>60</v>
      </c>
      <c r="AL30" s="383" t="e">
        <f>+#REF!+M30+U30+AK30</f>
        <v>#REF!</v>
      </c>
      <c r="AM30" s="398">
        <v>20</v>
      </c>
      <c r="AS30" s="200"/>
      <c r="AT30" s="200"/>
      <c r="AU30" s="200"/>
    </row>
    <row r="31" spans="2:47">
      <c r="B31" s="206">
        <v>5</v>
      </c>
      <c r="C31" s="206" t="s">
        <v>740</v>
      </c>
      <c r="D31" s="207" t="s">
        <v>622</v>
      </c>
      <c r="E31" s="207" t="s">
        <v>623</v>
      </c>
      <c r="F31" s="215" t="s">
        <v>108</v>
      </c>
      <c r="G31" s="215" t="s">
        <v>108</v>
      </c>
      <c r="H31" s="207" t="s">
        <v>108</v>
      </c>
      <c r="I31" s="207" t="s">
        <v>108</v>
      </c>
      <c r="J31" s="212" t="s">
        <v>117</v>
      </c>
      <c r="K31" s="212" t="s">
        <v>117</v>
      </c>
      <c r="L31" s="214" t="s">
        <v>108</v>
      </c>
      <c r="M31" s="390">
        <v>60</v>
      </c>
      <c r="N31" s="215" t="s">
        <v>108</v>
      </c>
      <c r="O31" s="215" t="s">
        <v>108</v>
      </c>
      <c r="P31" s="207" t="s">
        <v>108</v>
      </c>
      <c r="Q31" s="207" t="s">
        <v>108</v>
      </c>
      <c r="R31" s="212" t="s">
        <v>117</v>
      </c>
      <c r="S31" s="212" t="s">
        <v>117</v>
      </c>
      <c r="T31" s="214" t="s">
        <v>108</v>
      </c>
      <c r="U31" s="390">
        <v>60</v>
      </c>
      <c r="V31" s="215" t="s">
        <v>108</v>
      </c>
      <c r="W31" s="215" t="s">
        <v>108</v>
      </c>
      <c r="X31" s="207" t="s">
        <v>108</v>
      </c>
      <c r="Y31" s="207" t="s">
        <v>108</v>
      </c>
      <c r="Z31" s="212" t="s">
        <v>117</v>
      </c>
      <c r="AA31" s="212" t="s">
        <v>117</v>
      </c>
      <c r="AB31" s="214" t="s">
        <v>108</v>
      </c>
      <c r="AC31" s="390">
        <v>60</v>
      </c>
      <c r="AD31" s="215" t="s">
        <v>108</v>
      </c>
      <c r="AE31" s="215" t="s">
        <v>108</v>
      </c>
      <c r="AF31" s="207" t="s">
        <v>108</v>
      </c>
      <c r="AG31" s="207" t="s">
        <v>108</v>
      </c>
      <c r="AH31" s="212" t="s">
        <v>117</v>
      </c>
      <c r="AI31" s="212" t="s">
        <v>117</v>
      </c>
      <c r="AJ31" s="214" t="s">
        <v>108</v>
      </c>
      <c r="AK31" s="397">
        <v>60</v>
      </c>
      <c r="AL31" s="383" t="e">
        <f>+#REF!+M31+U31+AK31</f>
        <v>#REF!</v>
      </c>
      <c r="AM31" s="398">
        <v>20</v>
      </c>
      <c r="AS31" s="200"/>
      <c r="AT31" s="200"/>
      <c r="AU31" s="200"/>
    </row>
    <row r="32" spans="2:47">
      <c r="M32" s="200"/>
      <c r="U32" s="200"/>
      <c r="AC32" s="200"/>
      <c r="AK32" s="200"/>
      <c r="AS32" s="200"/>
      <c r="AT32" s="200"/>
      <c r="AU32" s="200"/>
    </row>
    <row r="33" spans="2:47" ht="15.75" customHeight="1">
      <c r="B33" s="202" t="s">
        <v>101</v>
      </c>
      <c r="C33" s="903" t="s">
        <v>735</v>
      </c>
      <c r="D33" s="202" t="s">
        <v>616</v>
      </c>
      <c r="E33" s="202" t="s">
        <v>102</v>
      </c>
      <c r="F33" s="483" t="s">
        <v>103</v>
      </c>
      <c r="G33" s="483" t="s">
        <v>104</v>
      </c>
      <c r="H33" s="483" t="s">
        <v>104</v>
      </c>
      <c r="I33" s="483" t="s">
        <v>105</v>
      </c>
      <c r="J33" s="483" t="s">
        <v>106</v>
      </c>
      <c r="K33" s="483" t="s">
        <v>107</v>
      </c>
      <c r="L33" s="483" t="s">
        <v>108</v>
      </c>
      <c r="M33" s="820" t="s">
        <v>109</v>
      </c>
      <c r="N33" s="484" t="s">
        <v>103</v>
      </c>
      <c r="O33" s="484" t="s">
        <v>104</v>
      </c>
      <c r="P33" s="484" t="s">
        <v>104</v>
      </c>
      <c r="Q33" s="484" t="s">
        <v>105</v>
      </c>
      <c r="R33" s="484" t="s">
        <v>106</v>
      </c>
      <c r="S33" s="484" t="s">
        <v>107</v>
      </c>
      <c r="T33" s="484" t="s">
        <v>108</v>
      </c>
      <c r="U33" s="820" t="s">
        <v>109</v>
      </c>
      <c r="V33" s="485" t="s">
        <v>103</v>
      </c>
      <c r="W33" s="485" t="s">
        <v>104</v>
      </c>
      <c r="X33" s="485" t="s">
        <v>104</v>
      </c>
      <c r="Y33" s="485" t="s">
        <v>105</v>
      </c>
      <c r="Z33" s="485" t="s">
        <v>106</v>
      </c>
      <c r="AA33" s="485" t="s">
        <v>107</v>
      </c>
      <c r="AB33" s="485" t="s">
        <v>108</v>
      </c>
      <c r="AC33" s="820" t="s">
        <v>109</v>
      </c>
      <c r="AD33" s="486" t="s">
        <v>103</v>
      </c>
      <c r="AE33" s="486" t="s">
        <v>104</v>
      </c>
      <c r="AF33" s="486" t="s">
        <v>104</v>
      </c>
      <c r="AG33" s="487" t="s">
        <v>105</v>
      </c>
      <c r="AH33" s="487" t="s">
        <v>106</v>
      </c>
      <c r="AI33" s="487" t="s">
        <v>107</v>
      </c>
      <c r="AJ33" s="487" t="s">
        <v>108</v>
      </c>
      <c r="AK33" s="644" t="s">
        <v>109</v>
      </c>
      <c r="AL33" s="644" t="s">
        <v>129</v>
      </c>
      <c r="AM33" s="644" t="s">
        <v>111</v>
      </c>
      <c r="AS33" s="200"/>
      <c r="AT33" s="200"/>
      <c r="AU33" s="200"/>
    </row>
    <row r="34" spans="2:47">
      <c r="B34" s="202" t="s">
        <v>112</v>
      </c>
      <c r="C34" s="904"/>
      <c r="D34" s="196" t="s">
        <v>845</v>
      </c>
      <c r="E34" s="202" t="s">
        <v>113</v>
      </c>
      <c r="F34" s="816">
        <v>7</v>
      </c>
      <c r="G34" s="816">
        <v>8</v>
      </c>
      <c r="H34" s="816">
        <v>9</v>
      </c>
      <c r="I34" s="816">
        <v>10</v>
      </c>
      <c r="J34" s="816">
        <v>11</v>
      </c>
      <c r="K34" s="816">
        <v>12</v>
      </c>
      <c r="L34" s="816">
        <v>13</v>
      </c>
      <c r="M34" s="820"/>
      <c r="N34" s="816">
        <v>14</v>
      </c>
      <c r="O34" s="816">
        <v>15</v>
      </c>
      <c r="P34" s="816">
        <v>16</v>
      </c>
      <c r="Q34" s="816">
        <v>17</v>
      </c>
      <c r="R34" s="816">
        <v>18</v>
      </c>
      <c r="S34" s="816">
        <v>19</v>
      </c>
      <c r="T34" s="816">
        <v>20</v>
      </c>
      <c r="U34" s="820"/>
      <c r="V34" s="816">
        <v>21</v>
      </c>
      <c r="W34" s="816">
        <v>22</v>
      </c>
      <c r="X34" s="816">
        <v>23</v>
      </c>
      <c r="Y34" s="816">
        <v>24</v>
      </c>
      <c r="Z34" s="816">
        <v>25</v>
      </c>
      <c r="AA34" s="816">
        <v>26</v>
      </c>
      <c r="AB34" s="816">
        <v>27</v>
      </c>
      <c r="AC34" s="820"/>
      <c r="AD34" s="816">
        <v>28</v>
      </c>
      <c r="AE34" s="816">
        <v>29</v>
      </c>
      <c r="AF34" s="816">
        <v>30</v>
      </c>
      <c r="AG34" s="816">
        <v>1</v>
      </c>
      <c r="AH34" s="816">
        <v>2</v>
      </c>
      <c r="AI34" s="816">
        <v>3</v>
      </c>
      <c r="AJ34" s="816">
        <v>4</v>
      </c>
      <c r="AK34" s="644"/>
      <c r="AL34" s="644"/>
      <c r="AM34" s="644"/>
      <c r="AS34" s="200"/>
      <c r="AT34" s="200"/>
      <c r="AU34" s="200"/>
    </row>
    <row r="35" spans="2:47">
      <c r="B35" s="204" t="s">
        <v>42</v>
      </c>
      <c r="C35" s="905"/>
      <c r="D35" s="205" t="s">
        <v>114</v>
      </c>
      <c r="E35" s="205" t="s">
        <v>115</v>
      </c>
      <c r="F35" s="816"/>
      <c r="G35" s="816"/>
      <c r="H35" s="816"/>
      <c r="I35" s="816"/>
      <c r="J35" s="816"/>
      <c r="K35" s="816"/>
      <c r="L35" s="816"/>
      <c r="M35" s="820"/>
      <c r="N35" s="816"/>
      <c r="O35" s="816"/>
      <c r="P35" s="816"/>
      <c r="Q35" s="816"/>
      <c r="R35" s="816"/>
      <c r="S35" s="816"/>
      <c r="T35" s="816"/>
      <c r="U35" s="820"/>
      <c r="V35" s="816"/>
      <c r="W35" s="816"/>
      <c r="X35" s="816"/>
      <c r="Y35" s="816"/>
      <c r="Z35" s="816"/>
      <c r="AA35" s="816"/>
      <c r="AB35" s="816"/>
      <c r="AC35" s="820"/>
      <c r="AD35" s="816"/>
      <c r="AE35" s="816"/>
      <c r="AF35" s="816"/>
      <c r="AG35" s="816"/>
      <c r="AH35" s="816"/>
      <c r="AI35" s="816"/>
      <c r="AJ35" s="816"/>
      <c r="AK35" s="644"/>
      <c r="AL35" s="644"/>
      <c r="AM35" s="644"/>
      <c r="AS35" s="200"/>
      <c r="AT35" s="200"/>
      <c r="AU35" s="200"/>
    </row>
    <row r="36" spans="2:47">
      <c r="B36" s="206">
        <v>1</v>
      </c>
      <c r="C36" s="206" t="s">
        <v>317</v>
      </c>
      <c r="D36" s="207" t="s">
        <v>624</v>
      </c>
      <c r="E36" s="207" t="s">
        <v>625</v>
      </c>
      <c r="F36" s="213" t="s">
        <v>162</v>
      </c>
      <c r="G36" s="213" t="s">
        <v>162</v>
      </c>
      <c r="H36" s="213" t="s">
        <v>162</v>
      </c>
      <c r="I36" s="213" t="s">
        <v>162</v>
      </c>
      <c r="J36" s="213" t="s">
        <v>162</v>
      </c>
      <c r="K36" s="209" t="s">
        <v>117</v>
      </c>
      <c r="L36" s="209" t="s">
        <v>117</v>
      </c>
      <c r="M36" s="392">
        <v>50</v>
      </c>
      <c r="N36" s="213" t="s">
        <v>162</v>
      </c>
      <c r="O36" s="213" t="s">
        <v>162</v>
      </c>
      <c r="P36" s="213" t="s">
        <v>162</v>
      </c>
      <c r="Q36" s="213" t="s">
        <v>162</v>
      </c>
      <c r="R36" s="213" t="s">
        <v>162</v>
      </c>
      <c r="S36" s="209" t="s">
        <v>117</v>
      </c>
      <c r="T36" s="209" t="s">
        <v>117</v>
      </c>
      <c r="U36" s="392">
        <v>50</v>
      </c>
      <c r="V36" s="213" t="s">
        <v>162</v>
      </c>
      <c r="W36" s="213" t="s">
        <v>162</v>
      </c>
      <c r="X36" s="213" t="s">
        <v>162</v>
      </c>
      <c r="Y36" s="213" t="s">
        <v>162</v>
      </c>
      <c r="Z36" s="213" t="s">
        <v>162</v>
      </c>
      <c r="AA36" s="209" t="s">
        <v>117</v>
      </c>
      <c r="AB36" s="209" t="s">
        <v>117</v>
      </c>
      <c r="AC36" s="392">
        <v>50</v>
      </c>
      <c r="AD36" s="213" t="s">
        <v>162</v>
      </c>
      <c r="AE36" s="213" t="s">
        <v>162</v>
      </c>
      <c r="AF36" s="213" t="s">
        <v>162</v>
      </c>
      <c r="AG36" s="213" t="s">
        <v>162</v>
      </c>
      <c r="AH36" s="213" t="s">
        <v>162</v>
      </c>
      <c r="AI36" s="209" t="s">
        <v>117</v>
      </c>
      <c r="AJ36" s="209" t="s">
        <v>117</v>
      </c>
      <c r="AK36" s="400">
        <v>50</v>
      </c>
      <c r="AL36" s="383" t="e">
        <f>+#REF!+M36+U36+AK36</f>
        <v>#REF!</v>
      </c>
      <c r="AM36" s="398">
        <v>20</v>
      </c>
      <c r="AS36" s="200"/>
      <c r="AT36" s="200"/>
      <c r="AU36" s="200"/>
    </row>
    <row r="37" spans="2:47">
      <c r="B37" s="206">
        <v>2</v>
      </c>
      <c r="C37" s="206" t="s">
        <v>317</v>
      </c>
      <c r="D37" s="207" t="s">
        <v>855</v>
      </c>
      <c r="E37" s="207" t="s">
        <v>856</v>
      </c>
      <c r="F37" s="210" t="s">
        <v>116</v>
      </c>
      <c r="G37" s="213" t="s">
        <v>116</v>
      </c>
      <c r="H37" s="209" t="s">
        <v>117</v>
      </c>
      <c r="I37" s="209" t="s">
        <v>117</v>
      </c>
      <c r="J37" s="213" t="s">
        <v>108</v>
      </c>
      <c r="K37" s="210" t="s">
        <v>108</v>
      </c>
      <c r="L37" s="213" t="s">
        <v>116</v>
      </c>
      <c r="M37" s="390">
        <v>60</v>
      </c>
      <c r="N37" s="210" t="s">
        <v>116</v>
      </c>
      <c r="O37" s="213" t="s">
        <v>116</v>
      </c>
      <c r="P37" s="209" t="s">
        <v>117</v>
      </c>
      <c r="Q37" s="209" t="s">
        <v>117</v>
      </c>
      <c r="R37" s="213" t="s">
        <v>108</v>
      </c>
      <c r="S37" s="210" t="s">
        <v>108</v>
      </c>
      <c r="T37" s="213" t="s">
        <v>116</v>
      </c>
      <c r="U37" s="390">
        <v>60</v>
      </c>
      <c r="V37" s="210" t="s">
        <v>116</v>
      </c>
      <c r="W37" s="213" t="s">
        <v>116</v>
      </c>
      <c r="X37" s="209" t="s">
        <v>117</v>
      </c>
      <c r="Y37" s="209" t="s">
        <v>117</v>
      </c>
      <c r="Z37" s="213" t="s">
        <v>108</v>
      </c>
      <c r="AA37" s="210" t="s">
        <v>108</v>
      </c>
      <c r="AB37" s="213" t="s">
        <v>116</v>
      </c>
      <c r="AC37" s="390">
        <v>60</v>
      </c>
      <c r="AD37" s="210" t="s">
        <v>116</v>
      </c>
      <c r="AE37" s="213" t="s">
        <v>116</v>
      </c>
      <c r="AF37" s="209" t="s">
        <v>117</v>
      </c>
      <c r="AG37" s="209" t="s">
        <v>117</v>
      </c>
      <c r="AH37" s="213" t="s">
        <v>108</v>
      </c>
      <c r="AI37" s="210" t="s">
        <v>108</v>
      </c>
      <c r="AJ37" s="213" t="s">
        <v>116</v>
      </c>
      <c r="AK37" s="397">
        <v>60</v>
      </c>
      <c r="AL37" s="383" t="e">
        <f>+#REF!+M37+U37+AK37</f>
        <v>#REF!</v>
      </c>
      <c r="AM37" s="398">
        <v>20</v>
      </c>
      <c r="AS37" s="200"/>
      <c r="AT37" s="200"/>
      <c r="AU37" s="200"/>
    </row>
    <row r="38" spans="2:47">
      <c r="B38" s="206">
        <v>3</v>
      </c>
      <c r="C38" s="206" t="s">
        <v>317</v>
      </c>
      <c r="D38" s="207" t="s">
        <v>697</v>
      </c>
      <c r="E38" s="207" t="s">
        <v>698</v>
      </c>
      <c r="F38" s="209" t="s">
        <v>117</v>
      </c>
      <c r="G38" s="209" t="s">
        <v>117</v>
      </c>
      <c r="H38" s="213" t="s">
        <v>108</v>
      </c>
      <c r="I38" s="210" t="s">
        <v>108</v>
      </c>
      <c r="J38" s="213" t="s">
        <v>116</v>
      </c>
      <c r="K38" s="213" t="s">
        <v>116</v>
      </c>
      <c r="L38" s="219" t="s">
        <v>116</v>
      </c>
      <c r="M38" s="390">
        <v>60</v>
      </c>
      <c r="N38" s="209" t="s">
        <v>117</v>
      </c>
      <c r="O38" s="209" t="s">
        <v>117</v>
      </c>
      <c r="P38" s="213" t="s">
        <v>108</v>
      </c>
      <c r="Q38" s="210" t="s">
        <v>108</v>
      </c>
      <c r="R38" s="213" t="s">
        <v>116</v>
      </c>
      <c r="S38" s="213" t="s">
        <v>116</v>
      </c>
      <c r="T38" s="219" t="s">
        <v>116</v>
      </c>
      <c r="U38" s="390">
        <v>60</v>
      </c>
      <c r="V38" s="209" t="s">
        <v>117</v>
      </c>
      <c r="W38" s="209" t="s">
        <v>117</v>
      </c>
      <c r="X38" s="213" t="s">
        <v>108</v>
      </c>
      <c r="Y38" s="210" t="s">
        <v>108</v>
      </c>
      <c r="Z38" s="213" t="s">
        <v>116</v>
      </c>
      <c r="AA38" s="213" t="s">
        <v>116</v>
      </c>
      <c r="AB38" s="219" t="s">
        <v>116</v>
      </c>
      <c r="AC38" s="390">
        <v>60</v>
      </c>
      <c r="AD38" s="209" t="s">
        <v>117</v>
      </c>
      <c r="AE38" s="209" t="s">
        <v>117</v>
      </c>
      <c r="AF38" s="213" t="s">
        <v>108</v>
      </c>
      <c r="AG38" s="210" t="s">
        <v>108</v>
      </c>
      <c r="AH38" s="213" t="s">
        <v>116</v>
      </c>
      <c r="AI38" s="213" t="s">
        <v>116</v>
      </c>
      <c r="AJ38" s="219" t="s">
        <v>116</v>
      </c>
      <c r="AK38" s="397">
        <v>60</v>
      </c>
      <c r="AL38" s="383" t="e">
        <f>+#REF!+M38+U38+AK38</f>
        <v>#REF!</v>
      </c>
      <c r="AM38" s="398">
        <v>20</v>
      </c>
      <c r="AS38" s="200"/>
      <c r="AT38" s="200"/>
      <c r="AU38" s="200"/>
    </row>
    <row r="39" spans="2:47">
      <c r="B39" s="206">
        <v>4</v>
      </c>
      <c r="C39" s="206" t="s">
        <v>317</v>
      </c>
      <c r="D39" s="207" t="s">
        <v>822</v>
      </c>
      <c r="E39" s="207" t="s">
        <v>823</v>
      </c>
      <c r="F39" s="213" t="s">
        <v>108</v>
      </c>
      <c r="G39" s="213" t="s">
        <v>108</v>
      </c>
      <c r="H39" s="213" t="s">
        <v>116</v>
      </c>
      <c r="I39" s="213" t="s">
        <v>116</v>
      </c>
      <c r="J39" s="209" t="s">
        <v>117</v>
      </c>
      <c r="K39" s="209" t="s">
        <v>117</v>
      </c>
      <c r="L39" s="213" t="s">
        <v>108</v>
      </c>
      <c r="M39" s="390">
        <v>60</v>
      </c>
      <c r="N39" s="213" t="s">
        <v>108</v>
      </c>
      <c r="O39" s="213" t="s">
        <v>108</v>
      </c>
      <c r="P39" s="213" t="s">
        <v>116</v>
      </c>
      <c r="Q39" s="213" t="s">
        <v>116</v>
      </c>
      <c r="R39" s="209" t="s">
        <v>117</v>
      </c>
      <c r="S39" s="209" t="s">
        <v>117</v>
      </c>
      <c r="T39" s="213" t="s">
        <v>108</v>
      </c>
      <c r="U39" s="390">
        <v>60</v>
      </c>
      <c r="V39" s="213" t="s">
        <v>108</v>
      </c>
      <c r="W39" s="213" t="s">
        <v>108</v>
      </c>
      <c r="X39" s="213" t="s">
        <v>116</v>
      </c>
      <c r="Y39" s="213" t="s">
        <v>116</v>
      </c>
      <c r="Z39" s="209" t="s">
        <v>117</v>
      </c>
      <c r="AA39" s="209" t="s">
        <v>117</v>
      </c>
      <c r="AB39" s="213" t="s">
        <v>108</v>
      </c>
      <c r="AC39" s="390">
        <v>60</v>
      </c>
      <c r="AD39" s="213" t="s">
        <v>108</v>
      </c>
      <c r="AE39" s="213" t="s">
        <v>108</v>
      </c>
      <c r="AF39" s="213" t="s">
        <v>116</v>
      </c>
      <c r="AG39" s="213" t="s">
        <v>116</v>
      </c>
      <c r="AH39" s="209" t="s">
        <v>117</v>
      </c>
      <c r="AI39" s="209" t="s">
        <v>117</v>
      </c>
      <c r="AJ39" s="213" t="s">
        <v>108</v>
      </c>
      <c r="AK39" s="397">
        <v>60</v>
      </c>
      <c r="AL39" s="383" t="e">
        <f>+#REF!+M39+U39+AK39</f>
        <v>#REF!</v>
      </c>
      <c r="AM39" s="398">
        <v>20</v>
      </c>
      <c r="AS39" s="200"/>
      <c r="AT39" s="200"/>
      <c r="AU39" s="200"/>
    </row>
    <row r="40" spans="2:47">
      <c r="AK40" s="395"/>
      <c r="AL40" s="395"/>
      <c r="AM40" s="395"/>
      <c r="AS40" s="200"/>
      <c r="AT40" s="200"/>
      <c r="AU40" s="200"/>
    </row>
    <row r="41" spans="2:47" ht="15" customHeight="1">
      <c r="B41" s="202" t="s">
        <v>101</v>
      </c>
      <c r="C41" s="903" t="s">
        <v>735</v>
      </c>
      <c r="D41" s="202" t="s">
        <v>616</v>
      </c>
      <c r="E41" s="202" t="s">
        <v>102</v>
      </c>
      <c r="F41" s="483" t="s">
        <v>103</v>
      </c>
      <c r="G41" s="483" t="s">
        <v>104</v>
      </c>
      <c r="H41" s="483" t="s">
        <v>104</v>
      </c>
      <c r="I41" s="483" t="s">
        <v>105</v>
      </c>
      <c r="J41" s="483" t="s">
        <v>106</v>
      </c>
      <c r="K41" s="483" t="s">
        <v>107</v>
      </c>
      <c r="L41" s="483" t="s">
        <v>108</v>
      </c>
      <c r="M41" s="820" t="s">
        <v>109</v>
      </c>
      <c r="N41" s="484" t="s">
        <v>103</v>
      </c>
      <c r="O41" s="484" t="s">
        <v>104</v>
      </c>
      <c r="P41" s="484" t="s">
        <v>104</v>
      </c>
      <c r="Q41" s="484" t="s">
        <v>105</v>
      </c>
      <c r="R41" s="484" t="s">
        <v>106</v>
      </c>
      <c r="S41" s="484" t="s">
        <v>107</v>
      </c>
      <c r="T41" s="484" t="s">
        <v>108</v>
      </c>
      <c r="U41" s="820" t="s">
        <v>109</v>
      </c>
      <c r="V41" s="485" t="s">
        <v>103</v>
      </c>
      <c r="W41" s="485" t="s">
        <v>104</v>
      </c>
      <c r="X41" s="485" t="s">
        <v>104</v>
      </c>
      <c r="Y41" s="485" t="s">
        <v>105</v>
      </c>
      <c r="Z41" s="485" t="s">
        <v>106</v>
      </c>
      <c r="AA41" s="485" t="s">
        <v>107</v>
      </c>
      <c r="AB41" s="485" t="s">
        <v>108</v>
      </c>
      <c r="AC41" s="820" t="s">
        <v>109</v>
      </c>
      <c r="AD41" s="486" t="s">
        <v>103</v>
      </c>
      <c r="AE41" s="486" t="s">
        <v>104</v>
      </c>
      <c r="AF41" s="486" t="s">
        <v>104</v>
      </c>
      <c r="AG41" s="487" t="s">
        <v>105</v>
      </c>
      <c r="AH41" s="487" t="s">
        <v>106</v>
      </c>
      <c r="AI41" s="487" t="s">
        <v>107</v>
      </c>
      <c r="AJ41" s="487" t="s">
        <v>108</v>
      </c>
      <c r="AK41" s="644" t="s">
        <v>109</v>
      </c>
      <c r="AL41" s="644" t="s">
        <v>129</v>
      </c>
      <c r="AM41" s="644" t="s">
        <v>111</v>
      </c>
      <c r="AS41" s="200"/>
      <c r="AT41" s="200"/>
      <c r="AU41" s="200"/>
    </row>
    <row r="42" spans="2:47">
      <c r="B42" s="202" t="s">
        <v>112</v>
      </c>
      <c r="C42" s="904"/>
      <c r="D42" s="196" t="s">
        <v>845</v>
      </c>
      <c r="E42" s="202" t="s">
        <v>113</v>
      </c>
      <c r="F42" s="816">
        <v>7</v>
      </c>
      <c r="G42" s="816">
        <v>8</v>
      </c>
      <c r="H42" s="816">
        <v>9</v>
      </c>
      <c r="I42" s="816">
        <v>10</v>
      </c>
      <c r="J42" s="816">
        <v>11</v>
      </c>
      <c r="K42" s="816">
        <v>12</v>
      </c>
      <c r="L42" s="816">
        <v>13</v>
      </c>
      <c r="M42" s="820"/>
      <c r="N42" s="816">
        <v>14</v>
      </c>
      <c r="O42" s="816">
        <v>15</v>
      </c>
      <c r="P42" s="816">
        <v>16</v>
      </c>
      <c r="Q42" s="816">
        <v>17</v>
      </c>
      <c r="R42" s="816">
        <v>18</v>
      </c>
      <c r="S42" s="816">
        <v>19</v>
      </c>
      <c r="T42" s="816">
        <v>20</v>
      </c>
      <c r="U42" s="820"/>
      <c r="V42" s="816">
        <v>21</v>
      </c>
      <c r="W42" s="816">
        <v>22</v>
      </c>
      <c r="X42" s="816">
        <v>23</v>
      </c>
      <c r="Y42" s="816">
        <v>24</v>
      </c>
      <c r="Z42" s="816">
        <v>25</v>
      </c>
      <c r="AA42" s="816">
        <v>26</v>
      </c>
      <c r="AB42" s="816">
        <v>27</v>
      </c>
      <c r="AC42" s="820"/>
      <c r="AD42" s="816">
        <v>28</v>
      </c>
      <c r="AE42" s="816">
        <v>29</v>
      </c>
      <c r="AF42" s="816">
        <v>30</v>
      </c>
      <c r="AG42" s="816">
        <v>1</v>
      </c>
      <c r="AH42" s="816">
        <v>2</v>
      </c>
      <c r="AI42" s="816">
        <v>3</v>
      </c>
      <c r="AJ42" s="816">
        <v>4</v>
      </c>
      <c r="AK42" s="644"/>
      <c r="AL42" s="644"/>
      <c r="AM42" s="644"/>
      <c r="AS42" s="200"/>
      <c r="AT42" s="200"/>
      <c r="AU42" s="200"/>
    </row>
    <row r="43" spans="2:47">
      <c r="B43" s="204" t="s">
        <v>42</v>
      </c>
      <c r="C43" s="905"/>
      <c r="D43" s="205" t="s">
        <v>114</v>
      </c>
      <c r="E43" s="205" t="s">
        <v>115</v>
      </c>
      <c r="F43" s="816"/>
      <c r="G43" s="816"/>
      <c r="H43" s="816"/>
      <c r="I43" s="816"/>
      <c r="J43" s="816"/>
      <c r="K43" s="816"/>
      <c r="L43" s="816"/>
      <c r="M43" s="820"/>
      <c r="N43" s="816"/>
      <c r="O43" s="816"/>
      <c r="P43" s="816"/>
      <c r="Q43" s="816"/>
      <c r="R43" s="816"/>
      <c r="S43" s="816"/>
      <c r="T43" s="816"/>
      <c r="U43" s="820"/>
      <c r="V43" s="816"/>
      <c r="W43" s="816"/>
      <c r="X43" s="816"/>
      <c r="Y43" s="816"/>
      <c r="Z43" s="816"/>
      <c r="AA43" s="816"/>
      <c r="AB43" s="816"/>
      <c r="AC43" s="820"/>
      <c r="AD43" s="816"/>
      <c r="AE43" s="816"/>
      <c r="AF43" s="816"/>
      <c r="AG43" s="816"/>
      <c r="AH43" s="816"/>
      <c r="AI43" s="816"/>
      <c r="AJ43" s="816"/>
      <c r="AK43" s="644"/>
      <c r="AL43" s="644"/>
      <c r="AM43" s="644"/>
      <c r="AS43" s="200"/>
      <c r="AT43" s="200"/>
      <c r="AU43" s="200"/>
    </row>
    <row r="44" spans="2:47">
      <c r="B44" s="206">
        <v>1</v>
      </c>
      <c r="C44" s="206" t="s">
        <v>319</v>
      </c>
      <c r="D44" s="207" t="s">
        <v>670</v>
      </c>
      <c r="E44" s="207" t="s">
        <v>671</v>
      </c>
      <c r="F44" s="203" t="s">
        <v>108</v>
      </c>
      <c r="G44" s="203" t="s">
        <v>108</v>
      </c>
      <c r="H44" s="203" t="s">
        <v>108</v>
      </c>
      <c r="I44" s="203" t="s">
        <v>116</v>
      </c>
      <c r="J44" s="203" t="s">
        <v>116</v>
      </c>
      <c r="K44" s="217" t="s">
        <v>117</v>
      </c>
      <c r="L44" s="217" t="s">
        <v>117</v>
      </c>
      <c r="M44" s="390">
        <v>60</v>
      </c>
      <c r="N44" s="203" t="s">
        <v>108</v>
      </c>
      <c r="O44" s="203" t="s">
        <v>108</v>
      </c>
      <c r="P44" s="203" t="s">
        <v>108</v>
      </c>
      <c r="Q44" s="203" t="s">
        <v>116</v>
      </c>
      <c r="R44" s="203" t="s">
        <v>116</v>
      </c>
      <c r="S44" s="217" t="s">
        <v>117</v>
      </c>
      <c r="T44" s="217" t="s">
        <v>117</v>
      </c>
      <c r="U44" s="390">
        <v>60</v>
      </c>
      <c r="V44" s="203" t="s">
        <v>108</v>
      </c>
      <c r="W44" s="203" t="s">
        <v>108</v>
      </c>
      <c r="X44" s="203" t="s">
        <v>108</v>
      </c>
      <c r="Y44" s="203" t="s">
        <v>116</v>
      </c>
      <c r="Z44" s="203" t="s">
        <v>116</v>
      </c>
      <c r="AA44" s="217" t="s">
        <v>117</v>
      </c>
      <c r="AB44" s="217" t="s">
        <v>117</v>
      </c>
      <c r="AC44" s="390">
        <v>60</v>
      </c>
      <c r="AD44" s="203" t="s">
        <v>108</v>
      </c>
      <c r="AE44" s="203" t="s">
        <v>108</v>
      </c>
      <c r="AF44" s="203" t="s">
        <v>108</v>
      </c>
      <c r="AG44" s="203" t="s">
        <v>116</v>
      </c>
      <c r="AH44" s="203" t="s">
        <v>116</v>
      </c>
      <c r="AI44" s="217" t="s">
        <v>117</v>
      </c>
      <c r="AJ44" s="217" t="s">
        <v>117</v>
      </c>
      <c r="AK44" s="397">
        <v>60</v>
      </c>
      <c r="AL44" s="383" t="e">
        <f>+#REF!+#REF!+#REF!+AK44</f>
        <v>#REF!</v>
      </c>
      <c r="AM44" s="398">
        <v>20</v>
      </c>
      <c r="AS44" s="200"/>
      <c r="AT44" s="200"/>
      <c r="AU44" s="200"/>
    </row>
    <row r="45" spans="2:47">
      <c r="B45" s="206">
        <v>2</v>
      </c>
      <c r="C45" s="206" t="s">
        <v>319</v>
      </c>
      <c r="D45" s="207" t="s">
        <v>793</v>
      </c>
      <c r="E45" s="207" t="s">
        <v>628</v>
      </c>
      <c r="F45" s="203" t="s">
        <v>116</v>
      </c>
      <c r="G45" s="217" t="s">
        <v>117</v>
      </c>
      <c r="H45" s="217" t="s">
        <v>117</v>
      </c>
      <c r="I45" s="203" t="s">
        <v>108</v>
      </c>
      <c r="J45" s="203" t="s">
        <v>108</v>
      </c>
      <c r="K45" s="203" t="s">
        <v>116</v>
      </c>
      <c r="L45" s="203" t="s">
        <v>116</v>
      </c>
      <c r="M45" s="390">
        <v>60</v>
      </c>
      <c r="N45" s="203" t="s">
        <v>116</v>
      </c>
      <c r="O45" s="217" t="s">
        <v>117</v>
      </c>
      <c r="P45" s="217" t="s">
        <v>117</v>
      </c>
      <c r="Q45" s="203" t="s">
        <v>108</v>
      </c>
      <c r="R45" s="203" t="s">
        <v>108</v>
      </c>
      <c r="S45" s="203" t="s">
        <v>116</v>
      </c>
      <c r="T45" s="203" t="s">
        <v>116</v>
      </c>
      <c r="U45" s="390">
        <v>60</v>
      </c>
      <c r="V45" s="203" t="s">
        <v>116</v>
      </c>
      <c r="W45" s="217" t="s">
        <v>117</v>
      </c>
      <c r="X45" s="217" t="s">
        <v>117</v>
      </c>
      <c r="Y45" s="203" t="s">
        <v>108</v>
      </c>
      <c r="Z45" s="203" t="s">
        <v>108</v>
      </c>
      <c r="AA45" s="203" t="s">
        <v>116</v>
      </c>
      <c r="AB45" s="203" t="s">
        <v>116</v>
      </c>
      <c r="AC45" s="390">
        <v>60</v>
      </c>
      <c r="AD45" s="203" t="s">
        <v>116</v>
      </c>
      <c r="AE45" s="217" t="s">
        <v>117</v>
      </c>
      <c r="AF45" s="217" t="s">
        <v>117</v>
      </c>
      <c r="AG45" s="203" t="s">
        <v>108</v>
      </c>
      <c r="AH45" s="203" t="s">
        <v>108</v>
      </c>
      <c r="AI45" s="203" t="s">
        <v>116</v>
      </c>
      <c r="AJ45" s="203" t="s">
        <v>116</v>
      </c>
      <c r="AK45" s="397">
        <v>60</v>
      </c>
      <c r="AL45" s="383" t="e">
        <f>+#REF!+#REF!+#REF!+AK45</f>
        <v>#REF!</v>
      </c>
      <c r="AM45" s="398">
        <v>20</v>
      </c>
      <c r="AS45" s="200"/>
      <c r="AT45" s="200"/>
      <c r="AU45" s="200"/>
    </row>
    <row r="46" spans="2:47">
      <c r="B46" s="206">
        <v>3</v>
      </c>
      <c r="C46" s="206" t="s">
        <v>319</v>
      </c>
      <c r="D46" s="207" t="s">
        <v>726</v>
      </c>
      <c r="E46" s="207" t="s">
        <v>627</v>
      </c>
      <c r="F46" s="216" t="s">
        <v>108</v>
      </c>
      <c r="G46" s="203" t="s">
        <v>116</v>
      </c>
      <c r="H46" s="203" t="s">
        <v>116</v>
      </c>
      <c r="I46" s="217" t="s">
        <v>117</v>
      </c>
      <c r="J46" s="217" t="s">
        <v>117</v>
      </c>
      <c r="K46" s="203" t="s">
        <v>108</v>
      </c>
      <c r="L46" s="203" t="s">
        <v>108</v>
      </c>
      <c r="M46" s="390">
        <v>60</v>
      </c>
      <c r="N46" s="216" t="s">
        <v>108</v>
      </c>
      <c r="O46" s="203" t="s">
        <v>116</v>
      </c>
      <c r="P46" s="203" t="s">
        <v>116</v>
      </c>
      <c r="Q46" s="217" t="s">
        <v>117</v>
      </c>
      <c r="R46" s="217" t="s">
        <v>117</v>
      </c>
      <c r="S46" s="203" t="s">
        <v>108</v>
      </c>
      <c r="T46" s="203" t="s">
        <v>108</v>
      </c>
      <c r="U46" s="390">
        <v>60</v>
      </c>
      <c r="V46" s="216" t="s">
        <v>108</v>
      </c>
      <c r="W46" s="203" t="s">
        <v>116</v>
      </c>
      <c r="X46" s="203" t="s">
        <v>116</v>
      </c>
      <c r="Y46" s="217" t="s">
        <v>117</v>
      </c>
      <c r="Z46" s="217" t="s">
        <v>117</v>
      </c>
      <c r="AA46" s="203" t="s">
        <v>108</v>
      </c>
      <c r="AB46" s="203" t="s">
        <v>108</v>
      </c>
      <c r="AC46" s="390">
        <v>60</v>
      </c>
      <c r="AD46" s="216" t="s">
        <v>108</v>
      </c>
      <c r="AE46" s="203" t="s">
        <v>116</v>
      </c>
      <c r="AF46" s="203" t="s">
        <v>116</v>
      </c>
      <c r="AG46" s="217" t="s">
        <v>117</v>
      </c>
      <c r="AH46" s="217" t="s">
        <v>117</v>
      </c>
      <c r="AI46" s="203" t="s">
        <v>108</v>
      </c>
      <c r="AJ46" s="203" t="s">
        <v>108</v>
      </c>
      <c r="AK46" s="397">
        <v>60</v>
      </c>
      <c r="AL46" s="383" t="e">
        <f>+#REF!+#REF!+#REF!+AK46</f>
        <v>#REF!</v>
      </c>
      <c r="AM46" s="398">
        <v>20</v>
      </c>
      <c r="AS46" s="200"/>
      <c r="AT46" s="200"/>
      <c r="AU46" s="200"/>
    </row>
  </sheetData>
  <mergeCells count="183">
    <mergeCell ref="AJ25:AJ26"/>
    <mergeCell ref="H9:H10"/>
    <mergeCell ref="I9:I10"/>
    <mergeCell ref="J9:J10"/>
    <mergeCell ref="M8:M10"/>
    <mergeCell ref="U8:U10"/>
    <mergeCell ref="B2:D4"/>
    <mergeCell ref="E2:K4"/>
    <mergeCell ref="L2:W2"/>
    <mergeCell ref="X2:AJ4"/>
    <mergeCell ref="L3:W3"/>
    <mergeCell ref="L4:W4"/>
    <mergeCell ref="F9:F10"/>
    <mergeCell ref="G9:G10"/>
    <mergeCell ref="K9:K10"/>
    <mergeCell ref="AJ9:AJ10"/>
    <mergeCell ref="L9:L10"/>
    <mergeCell ref="N9:N10"/>
    <mergeCell ref="O9:O10"/>
    <mergeCell ref="P9:P10"/>
    <mergeCell ref="Q9:Q10"/>
    <mergeCell ref="L14:L15"/>
    <mergeCell ref="M13:M15"/>
    <mergeCell ref="N14:N15"/>
    <mergeCell ref="Y9:Y10"/>
    <mergeCell ref="Z9:Z10"/>
    <mergeCell ref="AA9:AA10"/>
    <mergeCell ref="R9:R10"/>
    <mergeCell ref="S9:S10"/>
    <mergeCell ref="T9:T10"/>
    <mergeCell ref="V9:V10"/>
    <mergeCell ref="W9:W10"/>
    <mergeCell ref="X9:X10"/>
    <mergeCell ref="AK13:AK15"/>
    <mergeCell ref="AC13:AC15"/>
    <mergeCell ref="R14:R15"/>
    <mergeCell ref="S14:S15"/>
    <mergeCell ref="T14:T15"/>
    <mergeCell ref="V14:V15"/>
    <mergeCell ref="W14:W15"/>
    <mergeCell ref="X14:X15"/>
    <mergeCell ref="U13:U15"/>
    <mergeCell ref="AD14:AD15"/>
    <mergeCell ref="AE14:AE15"/>
    <mergeCell ref="AF14:AF15"/>
    <mergeCell ref="AG14:AG15"/>
    <mergeCell ref="AH14:AH15"/>
    <mergeCell ref="AI14:AI15"/>
    <mergeCell ref="AJ14:AJ15"/>
    <mergeCell ref="F34:F35"/>
    <mergeCell ref="G34:G35"/>
    <mergeCell ref="H34:H35"/>
    <mergeCell ref="I34:I35"/>
    <mergeCell ref="J34:J35"/>
    <mergeCell ref="K34:K35"/>
    <mergeCell ref="K25:K26"/>
    <mergeCell ref="N25:N26"/>
    <mergeCell ref="O25:O26"/>
    <mergeCell ref="L25:L26"/>
    <mergeCell ref="F25:F26"/>
    <mergeCell ref="G25:G26"/>
    <mergeCell ref="H25:H26"/>
    <mergeCell ref="I25:I26"/>
    <mergeCell ref="J25:J26"/>
    <mergeCell ref="M24:M26"/>
    <mergeCell ref="AB25:AB26"/>
    <mergeCell ref="R25:R26"/>
    <mergeCell ref="S25:S26"/>
    <mergeCell ref="T25:T26"/>
    <mergeCell ref="V25:V26"/>
    <mergeCell ref="W25:W26"/>
    <mergeCell ref="X25:X26"/>
    <mergeCell ref="U24:U26"/>
    <mergeCell ref="F14:F15"/>
    <mergeCell ref="G14:G15"/>
    <mergeCell ref="H14:H15"/>
    <mergeCell ref="I14:I15"/>
    <mergeCell ref="J14:J15"/>
    <mergeCell ref="K14:K15"/>
    <mergeCell ref="P25:P26"/>
    <mergeCell ref="Q25:Q26"/>
    <mergeCell ref="O14:O15"/>
    <mergeCell ref="P14:P15"/>
    <mergeCell ref="Q14:Q15"/>
    <mergeCell ref="L34:L35"/>
    <mergeCell ref="N34:N35"/>
    <mergeCell ref="O34:O35"/>
    <mergeCell ref="P34:P35"/>
    <mergeCell ref="Q34:Q35"/>
    <mergeCell ref="M33:M35"/>
    <mergeCell ref="R34:R35"/>
    <mergeCell ref="S34:S35"/>
    <mergeCell ref="T34:T35"/>
    <mergeCell ref="V34:V35"/>
    <mergeCell ref="W34:W35"/>
    <mergeCell ref="X34:X35"/>
    <mergeCell ref="U33:U35"/>
    <mergeCell ref="AK33:AK35"/>
    <mergeCell ref="Y25:Y26"/>
    <mergeCell ref="AK24:AK26"/>
    <mergeCell ref="Z25:Z26"/>
    <mergeCell ref="AC24:AC26"/>
    <mergeCell ref="AC33:AC35"/>
    <mergeCell ref="AD34:AD35"/>
    <mergeCell ref="AE34:AE35"/>
    <mergeCell ref="AF34:AF35"/>
    <mergeCell ref="AG34:AG35"/>
    <mergeCell ref="AH34:AH35"/>
    <mergeCell ref="AI34:AI35"/>
    <mergeCell ref="AJ34:AJ35"/>
    <mergeCell ref="AD25:AD26"/>
    <mergeCell ref="AE25:AE26"/>
    <mergeCell ref="AF25:AF26"/>
    <mergeCell ref="AG25:AG26"/>
    <mergeCell ref="AH25:AH26"/>
    <mergeCell ref="AI25:AI26"/>
    <mergeCell ref="AA25:AA26"/>
    <mergeCell ref="AM8:AM10"/>
    <mergeCell ref="AL13:AL15"/>
    <mergeCell ref="AM13:AM15"/>
    <mergeCell ref="AL24:AL26"/>
    <mergeCell ref="AM24:AM26"/>
    <mergeCell ref="AL33:AL35"/>
    <mergeCell ref="AM33:AM35"/>
    <mergeCell ref="Y34:Y35"/>
    <mergeCell ref="Z34:Z35"/>
    <mergeCell ref="AA34:AA35"/>
    <mergeCell ref="AB34:AB35"/>
    <mergeCell ref="Y14:Y15"/>
    <mergeCell ref="Z14:Z15"/>
    <mergeCell ref="AA14:AA15"/>
    <mergeCell ref="AB14:AB15"/>
    <mergeCell ref="AB9:AB10"/>
    <mergeCell ref="AK8:AK10"/>
    <mergeCell ref="AC8:AC10"/>
    <mergeCell ref="AD9:AD10"/>
    <mergeCell ref="AE9:AE10"/>
    <mergeCell ref="AF9:AF10"/>
    <mergeCell ref="AG9:AG10"/>
    <mergeCell ref="AH9:AH10"/>
    <mergeCell ref="AI9:AI10"/>
    <mergeCell ref="C33:C35"/>
    <mergeCell ref="C24:C26"/>
    <mergeCell ref="C13:C15"/>
    <mergeCell ref="C8:C10"/>
    <mergeCell ref="B5:AU6"/>
    <mergeCell ref="C41:C43"/>
    <mergeCell ref="M41:M43"/>
    <mergeCell ref="U41:U43"/>
    <mergeCell ref="AC41:AC43"/>
    <mergeCell ref="AK41:AK43"/>
    <mergeCell ref="AL41:AL43"/>
    <mergeCell ref="AM41:AM43"/>
    <mergeCell ref="F42:F43"/>
    <mergeCell ref="G42:G43"/>
    <mergeCell ref="H42:H43"/>
    <mergeCell ref="I42:I43"/>
    <mergeCell ref="J42:J43"/>
    <mergeCell ref="K42:K43"/>
    <mergeCell ref="L42:L43"/>
    <mergeCell ref="C16:C22"/>
    <mergeCell ref="AL8:AL10"/>
    <mergeCell ref="N42:N43"/>
    <mergeCell ref="O42:O43"/>
    <mergeCell ref="P42:P43"/>
    <mergeCell ref="Q42:Q43"/>
    <mergeCell ref="AB42:AB43"/>
    <mergeCell ref="AD42:AD43"/>
    <mergeCell ref="AE42:AE43"/>
    <mergeCell ref="AF42:AF43"/>
    <mergeCell ref="AG42:AG43"/>
    <mergeCell ref="AH42:AH43"/>
    <mergeCell ref="AI42:AI43"/>
    <mergeCell ref="AJ42:AJ43"/>
    <mergeCell ref="R42:R43"/>
    <mergeCell ref="S42:S43"/>
    <mergeCell ref="T42:T43"/>
    <mergeCell ref="V42:V43"/>
    <mergeCell ref="W42:W43"/>
    <mergeCell ref="X42:X43"/>
    <mergeCell ref="Y42:Y43"/>
    <mergeCell ref="Z42:Z43"/>
    <mergeCell ref="AA42:AA43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23D7-2CE3-478E-ABE1-9CA5F0C53F46}">
  <sheetPr>
    <tabColor theme="7" tint="0.39997558519241921"/>
  </sheetPr>
  <dimension ref="B1:AM19"/>
  <sheetViews>
    <sheetView zoomScale="80" zoomScaleNormal="80" workbookViewId="0">
      <selection activeCell="C11" sqref="C11:D11"/>
    </sheetView>
  </sheetViews>
  <sheetFormatPr baseColWidth="10" defaultRowHeight="15"/>
  <cols>
    <col min="1" max="1" width="3.140625" customWidth="1"/>
    <col min="2" max="2" width="11.28515625" bestFit="1" customWidth="1"/>
    <col min="3" max="3" width="17.140625" bestFit="1" customWidth="1"/>
    <col min="4" max="4" width="21.140625" customWidth="1"/>
    <col min="5" max="5" width="2.7109375" bestFit="1" customWidth="1"/>
    <col min="6" max="7" width="3" bestFit="1" customWidth="1"/>
    <col min="8" max="23" width="3.42578125" customWidth="1"/>
    <col min="24" max="24" width="3.42578125" bestFit="1" customWidth="1"/>
    <col min="25" max="28" width="3.42578125" customWidth="1"/>
    <col min="29" max="33" width="2.7109375" bestFit="1" customWidth="1"/>
    <col min="34" max="35" width="3" bestFit="1" customWidth="1"/>
    <col min="36" max="37" width="2.7109375" bestFit="1" customWidth="1"/>
    <col min="38" max="39" width="3.42578125" customWidth="1"/>
  </cols>
  <sheetData>
    <row r="1" spans="2:39" ht="15.75" thickBot="1"/>
    <row r="2" spans="2:39" ht="15.75" customHeight="1" thickBot="1">
      <c r="B2" s="646" t="e" vm="13">
        <v>#VALUE!</v>
      </c>
      <c r="C2" s="647"/>
      <c r="D2" s="931" t="s">
        <v>97</v>
      </c>
      <c r="E2" s="932"/>
      <c r="F2" s="932"/>
      <c r="G2" s="932"/>
      <c r="H2" s="932"/>
      <c r="I2" s="932"/>
      <c r="J2" s="932"/>
      <c r="K2" s="932"/>
      <c r="L2" s="932"/>
      <c r="M2" s="933"/>
      <c r="N2" s="937" t="s">
        <v>98</v>
      </c>
      <c r="O2" s="938"/>
      <c r="P2" s="938"/>
      <c r="Q2" s="938"/>
      <c r="R2" s="938"/>
      <c r="S2" s="938"/>
      <c r="T2" s="938"/>
      <c r="U2" s="939"/>
      <c r="V2" s="925" t="e" vm="14">
        <v>#VALUE!</v>
      </c>
      <c r="W2" s="926"/>
      <c r="X2" s="926"/>
      <c r="Y2" s="926"/>
      <c r="Z2" s="926"/>
      <c r="AA2" s="926"/>
      <c r="AB2" s="926"/>
      <c r="AC2" s="926"/>
      <c r="AD2" s="926"/>
      <c r="AE2" s="926"/>
      <c r="AF2" s="927"/>
      <c r="AG2" s="1"/>
      <c r="AH2" s="1"/>
      <c r="AI2" s="1"/>
      <c r="AJ2" s="1"/>
      <c r="AK2" s="1"/>
      <c r="AL2" s="1"/>
      <c r="AM2" s="1"/>
    </row>
    <row r="3" spans="2:39" ht="15" customHeight="1" thickBot="1">
      <c r="B3" s="649"/>
      <c r="C3" s="650"/>
      <c r="D3" s="810"/>
      <c r="E3" s="811"/>
      <c r="F3" s="811"/>
      <c r="G3" s="811"/>
      <c r="H3" s="811"/>
      <c r="I3" s="811"/>
      <c r="J3" s="811"/>
      <c r="K3" s="811"/>
      <c r="L3" s="811"/>
      <c r="M3" s="812"/>
      <c r="N3" s="937" t="s">
        <v>99</v>
      </c>
      <c r="O3" s="938"/>
      <c r="P3" s="938"/>
      <c r="Q3" s="938"/>
      <c r="R3" s="938"/>
      <c r="S3" s="938"/>
      <c r="T3" s="938"/>
      <c r="U3" s="939"/>
      <c r="V3" s="866"/>
      <c r="W3" s="886"/>
      <c r="X3" s="886"/>
      <c r="Y3" s="886"/>
      <c r="Z3" s="886"/>
      <c r="AA3" s="886"/>
      <c r="AB3" s="886"/>
      <c r="AC3" s="886"/>
      <c r="AD3" s="886"/>
      <c r="AE3" s="886"/>
      <c r="AF3" s="887"/>
      <c r="AG3" s="1"/>
      <c r="AH3" s="1"/>
      <c r="AI3" s="1"/>
      <c r="AJ3" s="1"/>
      <c r="AK3" s="1"/>
      <c r="AL3" s="1"/>
      <c r="AM3" s="1"/>
    </row>
    <row r="4" spans="2:39" ht="15.75" customHeight="1" thickBot="1">
      <c r="B4" s="652"/>
      <c r="C4" s="653"/>
      <c r="D4" s="934"/>
      <c r="E4" s="935"/>
      <c r="F4" s="935"/>
      <c r="G4" s="935"/>
      <c r="H4" s="935"/>
      <c r="I4" s="935"/>
      <c r="J4" s="935"/>
      <c r="K4" s="935"/>
      <c r="L4" s="935"/>
      <c r="M4" s="936"/>
      <c r="N4" s="937" t="s">
        <v>100</v>
      </c>
      <c r="O4" s="938"/>
      <c r="P4" s="938"/>
      <c r="Q4" s="938"/>
      <c r="R4" s="938"/>
      <c r="S4" s="938"/>
      <c r="T4" s="938"/>
      <c r="U4" s="939"/>
      <c r="V4" s="928"/>
      <c r="W4" s="929"/>
      <c r="X4" s="929"/>
      <c r="Y4" s="929"/>
      <c r="Z4" s="929"/>
      <c r="AA4" s="929"/>
      <c r="AB4" s="929"/>
      <c r="AC4" s="929"/>
      <c r="AD4" s="929"/>
      <c r="AE4" s="929"/>
      <c r="AF4" s="930"/>
      <c r="AG4" s="1"/>
      <c r="AH4" s="1"/>
      <c r="AI4" s="1"/>
      <c r="AJ4" s="1"/>
      <c r="AK4" s="1"/>
      <c r="AL4" s="1"/>
      <c r="AM4" s="1"/>
    </row>
    <row r="5" spans="2:39" ht="18.75" customHeight="1">
      <c r="B5" s="658" t="s">
        <v>774</v>
      </c>
      <c r="C5" s="659"/>
      <c r="D5" s="659"/>
      <c r="E5" s="659"/>
      <c r="F5" s="659"/>
      <c r="G5" s="659"/>
      <c r="H5" s="659"/>
      <c r="I5" s="659"/>
      <c r="J5" s="659"/>
      <c r="K5" s="659"/>
      <c r="L5" s="659"/>
      <c r="M5" s="659"/>
      <c r="N5" s="659"/>
      <c r="O5" s="659"/>
      <c r="P5" s="659"/>
      <c r="Q5" s="659"/>
      <c r="R5" s="659"/>
      <c r="S5" s="659"/>
      <c r="T5" s="659"/>
      <c r="U5" s="659"/>
      <c r="V5" s="659"/>
      <c r="W5" s="659"/>
      <c r="X5" s="659"/>
      <c r="Y5" s="659"/>
      <c r="Z5" s="659"/>
      <c r="AA5" s="659"/>
      <c r="AB5" s="659"/>
      <c r="AC5" s="659"/>
      <c r="AD5" s="659"/>
      <c r="AE5" s="659"/>
      <c r="AF5" s="659"/>
      <c r="AG5" s="659"/>
      <c r="AH5" s="659"/>
      <c r="AI5" s="659"/>
      <c r="AJ5" s="659"/>
      <c r="AK5" s="659"/>
      <c r="AL5" s="659"/>
      <c r="AM5" s="805"/>
    </row>
    <row r="6" spans="2:39" ht="15.75" thickBot="1">
      <c r="B6" s="660"/>
      <c r="C6" s="661"/>
      <c r="D6" s="661"/>
      <c r="E6" s="661"/>
      <c r="F6" s="661"/>
      <c r="G6" s="661"/>
      <c r="H6" s="661"/>
      <c r="I6" s="661"/>
      <c r="J6" s="661"/>
      <c r="K6" s="661"/>
      <c r="L6" s="661"/>
      <c r="M6" s="661"/>
      <c r="N6" s="661"/>
      <c r="O6" s="661"/>
      <c r="P6" s="661"/>
      <c r="Q6" s="661"/>
      <c r="R6" s="661"/>
      <c r="S6" s="661"/>
      <c r="T6" s="661"/>
      <c r="U6" s="661"/>
      <c r="V6" s="661"/>
      <c r="W6" s="661"/>
      <c r="X6" s="661"/>
      <c r="Y6" s="661"/>
      <c r="Z6" s="661"/>
      <c r="AA6" s="661"/>
      <c r="AB6" s="661"/>
      <c r="AC6" s="661"/>
      <c r="AD6" s="661"/>
      <c r="AE6" s="661"/>
      <c r="AF6" s="661"/>
      <c r="AG6" s="661"/>
      <c r="AH6" s="661"/>
      <c r="AI6" s="661"/>
      <c r="AJ6" s="661"/>
      <c r="AK6" s="661"/>
      <c r="AL6" s="661"/>
      <c r="AM6" s="806"/>
    </row>
    <row r="7" spans="2:39" ht="18.75">
      <c r="B7" s="220"/>
      <c r="C7" s="220"/>
      <c r="D7" s="220"/>
      <c r="E7" s="220"/>
      <c r="F7" s="220"/>
      <c r="G7" s="220"/>
      <c r="H7" s="220"/>
      <c r="I7" s="220"/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  <c r="AA7" s="220"/>
      <c r="AB7" s="220"/>
      <c r="AC7" s="220"/>
      <c r="AD7" s="220"/>
      <c r="AE7" s="220"/>
      <c r="AF7" s="220"/>
      <c r="AG7" s="220"/>
      <c r="AH7" s="220"/>
      <c r="AI7" s="220"/>
      <c r="AJ7" s="220"/>
      <c r="AK7" s="220"/>
      <c r="AL7" s="220"/>
      <c r="AM7" s="220"/>
    </row>
    <row r="8" spans="2:39">
      <c r="B8" s="196" t="s">
        <v>101</v>
      </c>
      <c r="C8" s="196" t="s">
        <v>765</v>
      </c>
      <c r="D8" s="196" t="s">
        <v>102</v>
      </c>
      <c r="E8" s="429" t="s">
        <v>103</v>
      </c>
      <c r="F8" s="429" t="s">
        <v>104</v>
      </c>
      <c r="G8" s="429" t="s">
        <v>104</v>
      </c>
      <c r="H8" s="429" t="s">
        <v>105</v>
      </c>
      <c r="I8" s="429" t="s">
        <v>106</v>
      </c>
      <c r="J8" s="429" t="s">
        <v>107</v>
      </c>
      <c r="K8" s="429" t="s">
        <v>108</v>
      </c>
      <c r="L8" s="430" t="s">
        <v>103</v>
      </c>
      <c r="M8" s="430" t="s">
        <v>104</v>
      </c>
      <c r="N8" s="430" t="s">
        <v>104</v>
      </c>
      <c r="O8" s="430" t="s">
        <v>105</v>
      </c>
      <c r="P8" s="430" t="s">
        <v>106</v>
      </c>
      <c r="Q8" s="430" t="s">
        <v>107</v>
      </c>
      <c r="R8" s="430" t="s">
        <v>108</v>
      </c>
      <c r="S8" s="431" t="s">
        <v>103</v>
      </c>
      <c r="T8" s="431" t="s">
        <v>104</v>
      </c>
      <c r="U8" s="431" t="s">
        <v>104</v>
      </c>
      <c r="V8" s="431" t="s">
        <v>105</v>
      </c>
      <c r="W8" s="431" t="s">
        <v>106</v>
      </c>
      <c r="X8" s="431" t="s">
        <v>107</v>
      </c>
      <c r="Y8" s="431" t="s">
        <v>108</v>
      </c>
      <c r="Z8" s="416" t="s">
        <v>103</v>
      </c>
      <c r="AA8" s="416" t="s">
        <v>104</v>
      </c>
      <c r="AB8" s="416" t="s">
        <v>104</v>
      </c>
      <c r="AC8" s="416" t="s">
        <v>105</v>
      </c>
      <c r="AD8" s="416" t="s">
        <v>106</v>
      </c>
      <c r="AE8" s="416" t="s">
        <v>107</v>
      </c>
      <c r="AF8" s="416" t="s">
        <v>108</v>
      </c>
      <c r="AG8" s="429" t="s">
        <v>103</v>
      </c>
      <c r="AH8" s="429" t="s">
        <v>104</v>
      </c>
      <c r="AI8" s="429" t="s">
        <v>104</v>
      </c>
      <c r="AJ8" s="429" t="s">
        <v>105</v>
      </c>
      <c r="AK8" s="429" t="s">
        <v>106</v>
      </c>
      <c r="AL8" s="429" t="s">
        <v>107</v>
      </c>
      <c r="AM8" s="429" t="s">
        <v>108</v>
      </c>
    </row>
    <row r="9" spans="2:39">
      <c r="B9" s="196" t="s">
        <v>112</v>
      </c>
      <c r="C9" s="196" t="s">
        <v>845</v>
      </c>
      <c r="D9" s="196" t="s">
        <v>113</v>
      </c>
      <c r="E9" s="924">
        <v>7</v>
      </c>
      <c r="F9" s="924">
        <v>8</v>
      </c>
      <c r="G9" s="924">
        <v>9</v>
      </c>
      <c r="H9" s="924">
        <v>10</v>
      </c>
      <c r="I9" s="924">
        <v>11</v>
      </c>
      <c r="J9" s="924">
        <v>12</v>
      </c>
      <c r="K9" s="924">
        <v>13</v>
      </c>
      <c r="L9" s="924">
        <v>14</v>
      </c>
      <c r="M9" s="924">
        <v>15</v>
      </c>
      <c r="N9" s="924">
        <v>16</v>
      </c>
      <c r="O9" s="924">
        <v>17</v>
      </c>
      <c r="P9" s="924">
        <v>18</v>
      </c>
      <c r="Q9" s="924">
        <v>19</v>
      </c>
      <c r="R9" s="924">
        <v>20</v>
      </c>
      <c r="S9" s="924">
        <v>21</v>
      </c>
      <c r="T9" s="924">
        <v>22</v>
      </c>
      <c r="U9" s="924">
        <v>23</v>
      </c>
      <c r="V9" s="924">
        <v>24</v>
      </c>
      <c r="W9" s="924">
        <v>25</v>
      </c>
      <c r="X9" s="924">
        <v>26</v>
      </c>
      <c r="Y9" s="924">
        <v>27</v>
      </c>
      <c r="Z9" s="924">
        <v>28</v>
      </c>
      <c r="AA9" s="924">
        <v>29</v>
      </c>
      <c r="AB9" s="924">
        <v>30</v>
      </c>
      <c r="AC9" s="924">
        <v>1</v>
      </c>
      <c r="AD9" s="924">
        <v>2</v>
      </c>
      <c r="AE9" s="924">
        <v>3</v>
      </c>
      <c r="AF9" s="924">
        <v>4</v>
      </c>
      <c r="AG9" s="924">
        <v>5</v>
      </c>
      <c r="AH9" s="924">
        <v>6</v>
      </c>
      <c r="AI9" s="924">
        <v>7</v>
      </c>
      <c r="AJ9" s="924">
        <v>8</v>
      </c>
      <c r="AK9" s="924">
        <v>9</v>
      </c>
      <c r="AL9" s="924">
        <v>10</v>
      </c>
      <c r="AM9" s="924">
        <v>11</v>
      </c>
    </row>
    <row r="10" spans="2:39">
      <c r="B10" s="325" t="s">
        <v>42</v>
      </c>
      <c r="C10" s="218" t="s">
        <v>114</v>
      </c>
      <c r="D10" s="218" t="s">
        <v>115</v>
      </c>
      <c r="E10" s="924"/>
      <c r="F10" s="924"/>
      <c r="G10" s="924"/>
      <c r="H10" s="924"/>
      <c r="I10" s="924"/>
      <c r="J10" s="924"/>
      <c r="K10" s="924"/>
      <c r="L10" s="924"/>
      <c r="M10" s="924"/>
      <c r="N10" s="924"/>
      <c r="O10" s="924"/>
      <c r="P10" s="924"/>
      <c r="Q10" s="924"/>
      <c r="R10" s="924"/>
      <c r="S10" s="924"/>
      <c r="T10" s="924"/>
      <c r="U10" s="924"/>
      <c r="V10" s="924"/>
      <c r="W10" s="924"/>
      <c r="X10" s="924"/>
      <c r="Y10" s="924"/>
      <c r="Z10" s="924"/>
      <c r="AA10" s="924"/>
      <c r="AB10" s="924"/>
      <c r="AC10" s="924"/>
      <c r="AD10" s="924"/>
      <c r="AE10" s="924"/>
      <c r="AF10" s="924"/>
      <c r="AG10" s="924"/>
      <c r="AH10" s="924"/>
      <c r="AI10" s="924"/>
      <c r="AJ10" s="924"/>
      <c r="AK10" s="924"/>
      <c r="AL10" s="924"/>
      <c r="AM10" s="924"/>
    </row>
    <row r="11" spans="2:39" ht="15.75">
      <c r="B11" s="198">
        <v>1</v>
      </c>
      <c r="C11" s="24" t="s">
        <v>766</v>
      </c>
      <c r="D11" s="322" t="s">
        <v>767</v>
      </c>
      <c r="E11" s="593" t="s">
        <v>117</v>
      </c>
      <c r="F11" s="594" t="s">
        <v>108</v>
      </c>
      <c r="G11" s="594" t="s">
        <v>108</v>
      </c>
      <c r="H11" s="594" t="s">
        <v>116</v>
      </c>
      <c r="I11" s="594" t="s">
        <v>116</v>
      </c>
      <c r="J11" s="594" t="s">
        <v>116</v>
      </c>
      <c r="K11" s="593" t="s">
        <v>117</v>
      </c>
      <c r="L11" s="593" t="s">
        <v>117</v>
      </c>
      <c r="M11" s="594" t="s">
        <v>108</v>
      </c>
      <c r="N11" s="594" t="s">
        <v>108</v>
      </c>
      <c r="O11" s="594" t="s">
        <v>116</v>
      </c>
      <c r="P11" s="594" t="s">
        <v>116</v>
      </c>
      <c r="Q11" s="594" t="s">
        <v>116</v>
      </c>
      <c r="R11" s="593" t="s">
        <v>117</v>
      </c>
      <c r="S11" s="593" t="s">
        <v>117</v>
      </c>
      <c r="T11" s="594" t="s">
        <v>108</v>
      </c>
      <c r="U11" s="594" t="s">
        <v>108</v>
      </c>
      <c r="V11" s="594" t="s">
        <v>116</v>
      </c>
      <c r="W11" s="594" t="s">
        <v>116</v>
      </c>
      <c r="X11" s="594" t="s">
        <v>116</v>
      </c>
      <c r="Y11" s="593" t="s">
        <v>117</v>
      </c>
      <c r="Z11" s="593" t="s">
        <v>117</v>
      </c>
      <c r="AA11" s="594" t="s">
        <v>108</v>
      </c>
      <c r="AB11" s="594" t="s">
        <v>108</v>
      </c>
      <c r="AC11" s="594" t="s">
        <v>116</v>
      </c>
      <c r="AD11" s="594" t="s">
        <v>116</v>
      </c>
      <c r="AE11" s="594" t="s">
        <v>116</v>
      </c>
      <c r="AF11" s="593" t="s">
        <v>117</v>
      </c>
      <c r="AG11" s="593" t="s">
        <v>117</v>
      </c>
      <c r="AH11" s="594" t="s">
        <v>108</v>
      </c>
      <c r="AI11" s="594" t="s">
        <v>108</v>
      </c>
      <c r="AJ11" s="594" t="s">
        <v>116</v>
      </c>
      <c r="AK11" s="594" t="s">
        <v>116</v>
      </c>
      <c r="AL11" s="594" t="s">
        <v>116</v>
      </c>
      <c r="AM11" s="593" t="s">
        <v>117</v>
      </c>
    </row>
    <row r="12" spans="2:39" ht="15.75">
      <c r="B12" s="198">
        <v>2</v>
      </c>
      <c r="C12" s="24" t="s">
        <v>768</v>
      </c>
      <c r="D12" s="24" t="s">
        <v>769</v>
      </c>
      <c r="E12" s="594" t="s">
        <v>116</v>
      </c>
      <c r="F12" s="594" t="s">
        <v>116</v>
      </c>
      <c r="G12" s="594" t="s">
        <v>116</v>
      </c>
      <c r="H12" s="593" t="s">
        <v>117</v>
      </c>
      <c r="I12" s="593" t="s">
        <v>117</v>
      </c>
      <c r="J12" s="594" t="s">
        <v>108</v>
      </c>
      <c r="K12" s="594" t="s">
        <v>108</v>
      </c>
      <c r="L12" s="594" t="s">
        <v>108</v>
      </c>
      <c r="M12" s="594" t="s">
        <v>116</v>
      </c>
      <c r="N12" s="594" t="s">
        <v>116</v>
      </c>
      <c r="O12" s="593" t="s">
        <v>117</v>
      </c>
      <c r="P12" s="593" t="s">
        <v>117</v>
      </c>
      <c r="Q12" s="594" t="s">
        <v>108</v>
      </c>
      <c r="R12" s="594" t="s">
        <v>108</v>
      </c>
      <c r="S12" s="594" t="s">
        <v>108</v>
      </c>
      <c r="T12" s="594" t="s">
        <v>116</v>
      </c>
      <c r="U12" s="594" t="s">
        <v>116</v>
      </c>
      <c r="V12" s="593" t="s">
        <v>117</v>
      </c>
      <c r="W12" s="593" t="s">
        <v>117</v>
      </c>
      <c r="X12" s="594" t="s">
        <v>108</v>
      </c>
      <c r="Y12" s="594" t="s">
        <v>108</v>
      </c>
      <c r="Z12" s="594" t="s">
        <v>108</v>
      </c>
      <c r="AA12" s="594" t="s">
        <v>116</v>
      </c>
      <c r="AB12" s="594" t="s">
        <v>116</v>
      </c>
      <c r="AC12" s="593" t="s">
        <v>117</v>
      </c>
      <c r="AD12" s="593" t="s">
        <v>117</v>
      </c>
      <c r="AE12" s="594" t="s">
        <v>108</v>
      </c>
      <c r="AF12" s="594" t="s">
        <v>108</v>
      </c>
      <c r="AG12" s="594" t="s">
        <v>108</v>
      </c>
      <c r="AH12" s="594" t="s">
        <v>116</v>
      </c>
      <c r="AI12" s="594" t="s">
        <v>116</v>
      </c>
      <c r="AJ12" s="593" t="s">
        <v>117</v>
      </c>
      <c r="AK12" s="593" t="s">
        <v>117</v>
      </c>
      <c r="AL12" s="594" t="s">
        <v>108</v>
      </c>
      <c r="AM12" s="594" t="s">
        <v>108</v>
      </c>
    </row>
    <row r="13" spans="2:39" ht="15.75">
      <c r="B13" s="198">
        <v>3</v>
      </c>
      <c r="C13" s="24" t="s">
        <v>770</v>
      </c>
      <c r="D13" s="322" t="s">
        <v>771</v>
      </c>
      <c r="E13" s="595" t="s">
        <v>108</v>
      </c>
      <c r="F13" s="593" t="s">
        <v>117</v>
      </c>
      <c r="G13" s="593" t="s">
        <v>117</v>
      </c>
      <c r="H13" s="594" t="s">
        <v>108</v>
      </c>
      <c r="I13" s="594" t="s">
        <v>108</v>
      </c>
      <c r="J13" s="596" t="s">
        <v>117</v>
      </c>
      <c r="K13" s="594" t="s">
        <v>116</v>
      </c>
      <c r="L13" s="595" t="s">
        <v>116</v>
      </c>
      <c r="M13" s="593" t="s">
        <v>117</v>
      </c>
      <c r="N13" s="593" t="s">
        <v>117</v>
      </c>
      <c r="O13" s="594" t="s">
        <v>108</v>
      </c>
      <c r="P13" s="594" t="s">
        <v>108</v>
      </c>
      <c r="Q13" s="596" t="s">
        <v>117</v>
      </c>
      <c r="R13" s="594" t="s">
        <v>116</v>
      </c>
      <c r="S13" s="595" t="s">
        <v>116</v>
      </c>
      <c r="T13" s="593" t="s">
        <v>117</v>
      </c>
      <c r="U13" s="593" t="s">
        <v>117</v>
      </c>
      <c r="V13" s="594" t="s">
        <v>108</v>
      </c>
      <c r="W13" s="594" t="s">
        <v>108</v>
      </c>
      <c r="X13" s="596" t="s">
        <v>117</v>
      </c>
      <c r="Y13" s="594" t="s">
        <v>116</v>
      </c>
      <c r="Z13" s="595" t="s">
        <v>116</v>
      </c>
      <c r="AA13" s="593" t="s">
        <v>117</v>
      </c>
      <c r="AB13" s="593" t="s">
        <v>117</v>
      </c>
      <c r="AC13" s="594" t="s">
        <v>108</v>
      </c>
      <c r="AD13" s="594" t="s">
        <v>108</v>
      </c>
      <c r="AE13" s="596" t="s">
        <v>117</v>
      </c>
      <c r="AF13" s="594" t="s">
        <v>116</v>
      </c>
      <c r="AG13" s="595" t="s">
        <v>116</v>
      </c>
      <c r="AH13" s="593" t="s">
        <v>117</v>
      </c>
      <c r="AI13" s="593" t="s">
        <v>117</v>
      </c>
      <c r="AJ13" s="594" t="s">
        <v>108</v>
      </c>
      <c r="AK13" s="594" t="s">
        <v>108</v>
      </c>
      <c r="AL13" s="596" t="s">
        <v>117</v>
      </c>
      <c r="AM13" s="594" t="s">
        <v>116</v>
      </c>
    </row>
    <row r="14" spans="2:39">
      <c r="B14" s="132"/>
      <c r="C14" s="24"/>
      <c r="D14" s="32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P14" s="132"/>
      <c r="Q14" s="132"/>
      <c r="R14" s="132"/>
      <c r="S14" s="132"/>
      <c r="T14" s="132"/>
      <c r="U14" s="132"/>
      <c r="V14" s="132"/>
      <c r="W14" s="132"/>
      <c r="X14" s="132"/>
      <c r="Y14" s="132"/>
      <c r="Z14" s="132"/>
      <c r="AA14" s="132"/>
      <c r="AB14" s="132"/>
      <c r="AC14" s="132"/>
      <c r="AD14" s="132"/>
      <c r="AE14" s="132"/>
      <c r="AF14" s="132"/>
      <c r="AG14" s="132"/>
      <c r="AH14" s="132"/>
      <c r="AI14" s="132"/>
      <c r="AJ14" s="132"/>
      <c r="AK14" s="132"/>
      <c r="AL14" s="132"/>
      <c r="AM14" s="132"/>
    </row>
    <row r="15" spans="2:39" ht="22.5">
      <c r="B15" s="432" t="s">
        <v>132</v>
      </c>
      <c r="C15" s="432" t="s">
        <v>133</v>
      </c>
      <c r="D15" s="343" t="s">
        <v>101</v>
      </c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  <c r="R15" s="132"/>
      <c r="S15" s="132"/>
      <c r="T15" s="132"/>
      <c r="U15" s="132"/>
      <c r="V15" s="132"/>
      <c r="W15" s="132"/>
      <c r="X15" s="132"/>
      <c r="Y15" s="132"/>
      <c r="Z15" s="132"/>
      <c r="AA15" s="132"/>
      <c r="AB15" s="132"/>
      <c r="AC15" s="132"/>
      <c r="AD15" s="132"/>
      <c r="AE15" s="132"/>
      <c r="AF15" s="132"/>
      <c r="AG15" s="132"/>
      <c r="AH15" s="132"/>
      <c r="AI15" s="132"/>
      <c r="AJ15" s="132"/>
      <c r="AK15" s="132"/>
      <c r="AL15" s="132"/>
      <c r="AM15" s="132"/>
    </row>
    <row r="16" spans="2:39">
      <c r="B16" s="113" t="s">
        <v>108</v>
      </c>
      <c r="C16" s="113" t="s">
        <v>202</v>
      </c>
      <c r="D16" s="113" t="s">
        <v>772</v>
      </c>
      <c r="E16" s="132"/>
      <c r="F16" s="132"/>
      <c r="G16" s="132"/>
      <c r="H16" s="132"/>
      <c r="I16" s="132"/>
      <c r="J16" s="132"/>
      <c r="K16" s="132"/>
      <c r="L16" s="132"/>
      <c r="M16" s="132"/>
      <c r="N16" s="132"/>
      <c r="O16" s="132"/>
      <c r="P16" s="132"/>
      <c r="Q16" s="132"/>
      <c r="R16" s="132"/>
      <c r="S16" s="132"/>
      <c r="T16" s="132"/>
      <c r="U16" s="132"/>
      <c r="V16" s="132"/>
      <c r="W16" s="132"/>
      <c r="X16" s="132"/>
      <c r="Y16" s="132"/>
      <c r="Z16" s="132"/>
      <c r="AA16" s="132"/>
      <c r="AB16" s="132"/>
      <c r="AC16" s="132"/>
      <c r="AD16" s="132"/>
      <c r="AE16" s="132"/>
      <c r="AF16" s="132"/>
      <c r="AG16" s="132"/>
      <c r="AH16" s="132"/>
      <c r="AI16" s="132"/>
      <c r="AJ16" s="132"/>
      <c r="AK16" s="132"/>
      <c r="AL16" s="132"/>
      <c r="AM16" s="132"/>
    </row>
    <row r="17" spans="2:39">
      <c r="B17" s="113" t="s">
        <v>116</v>
      </c>
      <c r="C17" s="113" t="s">
        <v>681</v>
      </c>
      <c r="D17" s="113" t="s">
        <v>772</v>
      </c>
      <c r="E17" s="132"/>
      <c r="F17" s="132"/>
      <c r="G17" s="132"/>
      <c r="H17" s="132"/>
      <c r="I17" s="132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</row>
    <row r="18" spans="2:39">
      <c r="B18" s="113" t="s">
        <v>117</v>
      </c>
      <c r="C18" s="113" t="s">
        <v>119</v>
      </c>
      <c r="D18" s="24" t="s">
        <v>772</v>
      </c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  <c r="R18" s="132"/>
      <c r="S18" s="132"/>
      <c r="T18" s="132"/>
      <c r="U18" s="132"/>
      <c r="V18" s="132"/>
      <c r="W18" s="132"/>
      <c r="X18" s="132"/>
      <c r="Y18" s="132"/>
      <c r="Z18" s="132"/>
      <c r="AA18" s="132"/>
      <c r="AB18" s="132"/>
      <c r="AC18" s="132"/>
      <c r="AD18" s="132"/>
      <c r="AE18" s="132"/>
      <c r="AF18" s="132"/>
      <c r="AG18" s="132"/>
      <c r="AH18" s="132"/>
      <c r="AI18" s="132"/>
      <c r="AJ18" s="132"/>
      <c r="AK18" s="132"/>
      <c r="AL18" s="132"/>
      <c r="AM18" s="132"/>
    </row>
    <row r="19" spans="2:39">
      <c r="B19" s="416" t="s">
        <v>108</v>
      </c>
      <c r="C19" s="113"/>
      <c r="D19" s="24" t="s">
        <v>773</v>
      </c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  <c r="R19" s="132"/>
      <c r="S19" s="132"/>
      <c r="T19" s="132"/>
      <c r="U19" s="132"/>
      <c r="V19" s="132"/>
      <c r="W19" s="132"/>
      <c r="X19" s="132"/>
      <c r="Y19" s="132"/>
      <c r="Z19" s="132"/>
      <c r="AA19" s="132"/>
      <c r="AB19" s="132"/>
      <c r="AC19" s="132"/>
      <c r="AD19" s="132"/>
      <c r="AE19" s="132"/>
      <c r="AF19" s="132"/>
      <c r="AG19" s="132"/>
      <c r="AH19" s="132"/>
      <c r="AI19" s="132"/>
      <c r="AJ19" s="132"/>
      <c r="AK19" s="132"/>
      <c r="AL19" s="132"/>
      <c r="AM19" s="132"/>
    </row>
  </sheetData>
  <mergeCells count="42">
    <mergeCell ref="V2:AF4"/>
    <mergeCell ref="D2:M4"/>
    <mergeCell ref="N2:U2"/>
    <mergeCell ref="N3:U3"/>
    <mergeCell ref="N4:U4"/>
    <mergeCell ref="R9:R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AD9:AD10"/>
    <mergeCell ref="S9:S10"/>
    <mergeCell ref="T9:T10"/>
    <mergeCell ref="U9:U10"/>
    <mergeCell ref="V9:V10"/>
    <mergeCell ref="W9:W10"/>
    <mergeCell ref="X9:X10"/>
    <mergeCell ref="B5:AM6"/>
    <mergeCell ref="B2:C4"/>
    <mergeCell ref="AK9:AK10"/>
    <mergeCell ref="AL9:AL10"/>
    <mergeCell ref="AM9:AM10"/>
    <mergeCell ref="AE9:AE10"/>
    <mergeCell ref="AF9:AF10"/>
    <mergeCell ref="AG9:AG10"/>
    <mergeCell ref="AH9:AH10"/>
    <mergeCell ref="AI9:AI10"/>
    <mergeCell ref="AJ9:AJ10"/>
    <mergeCell ref="Y9:Y10"/>
    <mergeCell ref="Z9:Z10"/>
    <mergeCell ref="AA9:AA10"/>
    <mergeCell ref="AB9:AB10"/>
    <mergeCell ref="AC9:AC10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C973-173F-4FFE-A9DA-AAA4A5356150}">
  <dimension ref="B2:E52"/>
  <sheetViews>
    <sheetView workbookViewId="0">
      <selection activeCell="D44" sqref="D44"/>
    </sheetView>
  </sheetViews>
  <sheetFormatPr baseColWidth="10" defaultRowHeight="15"/>
  <cols>
    <col min="2" max="2" width="17.7109375" customWidth="1"/>
    <col min="3" max="3" width="13" customWidth="1"/>
    <col min="4" max="4" width="18.5703125" customWidth="1"/>
  </cols>
  <sheetData>
    <row r="2" spans="2:5">
      <c r="B2" s="113" t="s">
        <v>288</v>
      </c>
      <c r="C2" s="113" t="s">
        <v>244</v>
      </c>
      <c r="D2" s="113" t="s">
        <v>315</v>
      </c>
    </row>
    <row r="3" spans="2:5">
      <c r="B3" s="148" t="s">
        <v>316</v>
      </c>
      <c r="C3" s="137">
        <v>15</v>
      </c>
      <c r="D3" s="137" t="s">
        <v>337</v>
      </c>
    </row>
    <row r="4" spans="2:5">
      <c r="B4" s="148" t="s">
        <v>317</v>
      </c>
      <c r="C4" s="137">
        <v>17</v>
      </c>
      <c r="D4" s="137" t="s">
        <v>337</v>
      </c>
    </row>
    <row r="5" spans="2:5">
      <c r="B5" s="148" t="s">
        <v>149</v>
      </c>
      <c r="C5" s="137">
        <v>8</v>
      </c>
      <c r="D5" s="137" t="s">
        <v>337</v>
      </c>
    </row>
    <row r="6" spans="2:5">
      <c r="B6" s="148" t="s">
        <v>149</v>
      </c>
      <c r="C6" s="137">
        <v>1</v>
      </c>
      <c r="D6" s="137" t="s">
        <v>318</v>
      </c>
      <c r="E6" t="s">
        <v>345</v>
      </c>
    </row>
    <row r="7" spans="2:5">
      <c r="B7" s="148" t="s">
        <v>319</v>
      </c>
      <c r="C7" s="137">
        <v>15</v>
      </c>
      <c r="D7" s="137" t="s">
        <v>337</v>
      </c>
    </row>
    <row r="8" spans="2:5">
      <c r="B8" s="148" t="s">
        <v>319</v>
      </c>
      <c r="C8" s="137">
        <v>3</v>
      </c>
      <c r="D8" s="137" t="s">
        <v>320</v>
      </c>
    </row>
    <row r="9" spans="2:5">
      <c r="B9" s="148" t="s">
        <v>319</v>
      </c>
      <c r="C9" s="137">
        <v>2</v>
      </c>
      <c r="D9" s="137" t="s">
        <v>321</v>
      </c>
    </row>
    <row r="10" spans="2:5">
      <c r="B10" s="148" t="s">
        <v>322</v>
      </c>
      <c r="C10" s="137">
        <v>3</v>
      </c>
      <c r="D10" s="137" t="s">
        <v>321</v>
      </c>
    </row>
    <row r="11" spans="2:5">
      <c r="B11" s="148" t="s">
        <v>322</v>
      </c>
      <c r="C11" s="137">
        <v>1</v>
      </c>
      <c r="D11" s="137" t="s">
        <v>323</v>
      </c>
    </row>
    <row r="12" spans="2:5">
      <c r="B12" s="148" t="s">
        <v>324</v>
      </c>
      <c r="C12" s="137">
        <v>1</v>
      </c>
      <c r="D12" s="137" t="s">
        <v>325</v>
      </c>
    </row>
    <row r="13" spans="2:5">
      <c r="B13" s="148" t="s">
        <v>326</v>
      </c>
      <c r="C13" s="137">
        <v>22</v>
      </c>
      <c r="D13" s="137" t="s">
        <v>337</v>
      </c>
    </row>
    <row r="14" spans="2:5">
      <c r="B14" s="148" t="s">
        <v>326</v>
      </c>
      <c r="C14" s="137">
        <v>1</v>
      </c>
      <c r="D14" s="137" t="s">
        <v>327</v>
      </c>
      <c r="E14">
        <f>6*8</f>
        <v>48</v>
      </c>
    </row>
    <row r="15" spans="2:5">
      <c r="B15" s="148" t="s">
        <v>326</v>
      </c>
      <c r="C15" s="137">
        <v>1</v>
      </c>
      <c r="D15" s="137" t="s">
        <v>328</v>
      </c>
      <c r="E15">
        <f>5*6+10</f>
        <v>40</v>
      </c>
    </row>
    <row r="16" spans="2:5">
      <c r="B16" s="148" t="s">
        <v>329</v>
      </c>
      <c r="C16" s="137">
        <v>3</v>
      </c>
      <c r="D16" s="137" t="s">
        <v>337</v>
      </c>
    </row>
    <row r="17" spans="2:4">
      <c r="B17" s="148" t="s">
        <v>330</v>
      </c>
      <c r="C17" s="137">
        <v>8</v>
      </c>
      <c r="D17" s="137" t="s">
        <v>337</v>
      </c>
    </row>
    <row r="18" spans="2:4">
      <c r="B18" s="148" t="s">
        <v>331</v>
      </c>
      <c r="C18" s="137">
        <v>1</v>
      </c>
      <c r="D18" s="137" t="s">
        <v>337</v>
      </c>
    </row>
    <row r="19" spans="2:4">
      <c r="B19" s="148" t="s">
        <v>332</v>
      </c>
      <c r="C19" s="137">
        <v>1</v>
      </c>
      <c r="D19" s="137" t="s">
        <v>337</v>
      </c>
    </row>
    <row r="20" spans="2:4">
      <c r="B20" s="148" t="s">
        <v>333</v>
      </c>
      <c r="C20" s="137">
        <v>2</v>
      </c>
      <c r="D20" s="137" t="s">
        <v>337</v>
      </c>
    </row>
    <row r="21" spans="2:4">
      <c r="B21" s="148" t="s">
        <v>239</v>
      </c>
      <c r="C21" s="137">
        <v>3</v>
      </c>
      <c r="D21" s="137" t="s">
        <v>337</v>
      </c>
    </row>
    <row r="22" spans="2:4">
      <c r="B22" s="148" t="s">
        <v>278</v>
      </c>
      <c r="C22" s="137">
        <v>13</v>
      </c>
      <c r="D22" s="137" t="s">
        <v>337</v>
      </c>
    </row>
    <row r="23" spans="2:4">
      <c r="B23" s="148" t="s">
        <v>335</v>
      </c>
      <c r="C23" s="137">
        <v>2</v>
      </c>
      <c r="D23" s="137" t="s">
        <v>337</v>
      </c>
    </row>
    <row r="24" spans="2:4">
      <c r="B24" s="148" t="s">
        <v>334</v>
      </c>
      <c r="C24" s="137">
        <v>8</v>
      </c>
      <c r="D24" s="137" t="s">
        <v>337</v>
      </c>
    </row>
    <row r="25" spans="2:4">
      <c r="B25" s="148" t="s">
        <v>33</v>
      </c>
      <c r="C25" s="137">
        <v>2</v>
      </c>
      <c r="D25" s="137" t="s">
        <v>337</v>
      </c>
    </row>
    <row r="26" spans="2:4">
      <c r="B26" s="148" t="s">
        <v>33</v>
      </c>
      <c r="C26" s="137">
        <v>1</v>
      </c>
      <c r="D26" s="137" t="s">
        <v>327</v>
      </c>
    </row>
    <row r="27" spans="2:4">
      <c r="B27" s="148" t="s">
        <v>299</v>
      </c>
      <c r="C27" s="137">
        <v>4</v>
      </c>
      <c r="D27" s="137" t="s">
        <v>337</v>
      </c>
    </row>
    <row r="28" spans="2:4">
      <c r="B28" s="148" t="s">
        <v>304</v>
      </c>
      <c r="C28" s="137">
        <v>1</v>
      </c>
      <c r="D28" s="137" t="s">
        <v>337</v>
      </c>
    </row>
    <row r="29" spans="2:4">
      <c r="B29" s="148" t="s">
        <v>336</v>
      </c>
      <c r="C29" s="137">
        <v>3</v>
      </c>
      <c r="D29" s="137" t="s">
        <v>337</v>
      </c>
    </row>
    <row r="30" spans="2:4">
      <c r="B30" s="148" t="s">
        <v>148</v>
      </c>
      <c r="C30" s="137">
        <v>1</v>
      </c>
      <c r="D30" s="137" t="s">
        <v>227</v>
      </c>
    </row>
    <row r="31" spans="2:4">
      <c r="B31" s="148" t="s">
        <v>35</v>
      </c>
      <c r="C31" s="137">
        <v>1</v>
      </c>
      <c r="D31" s="137" t="s">
        <v>338</v>
      </c>
    </row>
    <row r="32" spans="2:4">
      <c r="B32" s="148" t="s">
        <v>35</v>
      </c>
      <c r="C32" s="137">
        <v>2</v>
      </c>
      <c r="D32" s="137" t="s">
        <v>337</v>
      </c>
    </row>
    <row r="33" spans="2:5">
      <c r="B33" s="140" t="s">
        <v>48</v>
      </c>
      <c r="C33" s="132">
        <v>2</v>
      </c>
      <c r="D33" s="141" t="s">
        <v>321</v>
      </c>
    </row>
    <row r="34" spans="2:5">
      <c r="B34" s="140" t="s">
        <v>48</v>
      </c>
      <c r="C34" s="132">
        <v>1</v>
      </c>
      <c r="D34" s="141" t="s">
        <v>341</v>
      </c>
    </row>
    <row r="35" spans="2:5">
      <c r="B35" s="140" t="s">
        <v>47</v>
      </c>
      <c r="C35" s="132">
        <v>1</v>
      </c>
      <c r="D35" s="155" t="s">
        <v>346</v>
      </c>
    </row>
    <row r="36" spans="2:5">
      <c r="B36" s="140" t="s">
        <v>314</v>
      </c>
      <c r="C36" s="132">
        <v>2</v>
      </c>
      <c r="D36" s="141" t="s">
        <v>321</v>
      </c>
    </row>
    <row r="37" spans="2:5">
      <c r="B37" s="140" t="s">
        <v>314</v>
      </c>
      <c r="C37" s="132">
        <v>1</v>
      </c>
      <c r="D37" s="141" t="s">
        <v>341</v>
      </c>
    </row>
    <row r="38" spans="2:5">
      <c r="B38" s="140" t="s">
        <v>309</v>
      </c>
      <c r="C38" s="132">
        <v>2</v>
      </c>
      <c r="D38" s="141" t="s">
        <v>321</v>
      </c>
    </row>
    <row r="39" spans="2:5">
      <c r="B39" s="140" t="s">
        <v>309</v>
      </c>
      <c r="C39" s="132">
        <v>1</v>
      </c>
      <c r="D39" s="141" t="s">
        <v>341</v>
      </c>
      <c r="E39" t="s">
        <v>342</v>
      </c>
    </row>
    <row r="40" spans="2:5">
      <c r="C40" s="137">
        <f>SUM(C3:C39)</f>
        <v>156</v>
      </c>
    </row>
    <row r="42" spans="2:5">
      <c r="B42" s="9" t="s">
        <v>308</v>
      </c>
      <c r="C42" s="113">
        <v>4</v>
      </c>
      <c r="D42" s="113" t="s">
        <v>337</v>
      </c>
      <c r="E42" s="9"/>
    </row>
    <row r="43" spans="2:5">
      <c r="B43" s="9" t="s">
        <v>308</v>
      </c>
      <c r="C43" s="113">
        <v>1</v>
      </c>
      <c r="D43" s="113">
        <f>10*5+7</f>
        <v>57</v>
      </c>
      <c r="E43" s="9"/>
    </row>
    <row r="44" spans="2:5">
      <c r="B44" s="138" t="s">
        <v>253</v>
      </c>
      <c r="C44" s="113">
        <v>1</v>
      </c>
      <c r="D44" s="9"/>
      <c r="E44" s="123">
        <f>10*5+8</f>
        <v>58</v>
      </c>
    </row>
    <row r="45" spans="2:5">
      <c r="B45" s="138" t="s">
        <v>255</v>
      </c>
      <c r="C45" s="113">
        <v>1</v>
      </c>
      <c r="D45" s="9"/>
      <c r="E45" s="11">
        <f>11.5*5+10.5</f>
        <v>68</v>
      </c>
    </row>
    <row r="46" spans="2:5" ht="18" customHeight="1">
      <c r="B46" s="138" t="s">
        <v>257</v>
      </c>
      <c r="C46" s="113">
        <v>1</v>
      </c>
      <c r="D46" s="9"/>
      <c r="E46" s="11">
        <f>12.5*5</f>
        <v>62.5</v>
      </c>
    </row>
    <row r="47" spans="2:5">
      <c r="B47" s="138" t="s">
        <v>259</v>
      </c>
      <c r="C47" s="113">
        <v>1</v>
      </c>
      <c r="D47" s="9"/>
      <c r="E47" s="11">
        <f>10.5*5+8.5</f>
        <v>61</v>
      </c>
    </row>
    <row r="48" spans="2:5">
      <c r="B48" s="139" t="s">
        <v>260</v>
      </c>
      <c r="C48" s="113">
        <v>1</v>
      </c>
      <c r="D48" s="9"/>
      <c r="E48" s="11">
        <f>10.5*5+8.5</f>
        <v>61</v>
      </c>
    </row>
    <row r="49" spans="2:5">
      <c r="B49" s="138" t="s">
        <v>263</v>
      </c>
      <c r="C49" s="113">
        <v>1</v>
      </c>
      <c r="D49" s="9"/>
      <c r="E49" s="11">
        <f>12.5*4+11.5</f>
        <v>61.5</v>
      </c>
    </row>
    <row r="50" spans="2:5">
      <c r="B50" s="142" t="s">
        <v>339</v>
      </c>
      <c r="C50" s="113">
        <v>1</v>
      </c>
      <c r="D50" s="143" t="s">
        <v>321</v>
      </c>
      <c r="E50" s="9">
        <v>60</v>
      </c>
    </row>
    <row r="51" spans="2:5">
      <c r="B51" s="142" t="s">
        <v>339</v>
      </c>
      <c r="C51" s="113">
        <v>1</v>
      </c>
      <c r="D51" s="143" t="s">
        <v>340</v>
      </c>
      <c r="E51" s="9">
        <v>24</v>
      </c>
    </row>
    <row r="52" spans="2:5">
      <c r="C52" s="132">
        <f>SUM(C43:C51)</f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12BA7-5C23-473F-BDEF-6C359B251EF0}">
  <dimension ref="A1:V12"/>
  <sheetViews>
    <sheetView zoomScale="70" zoomScaleNormal="70" workbookViewId="0">
      <selection activeCell="D15" sqref="D15"/>
    </sheetView>
  </sheetViews>
  <sheetFormatPr baseColWidth="10" defaultRowHeight="15"/>
  <cols>
    <col min="1" max="1" width="38.42578125" style="447" customWidth="1"/>
    <col min="2" max="2" width="13.5703125" style="447" customWidth="1"/>
    <col min="3" max="3" width="17.28515625" style="447" customWidth="1"/>
    <col min="4" max="4" width="35.7109375" style="447" customWidth="1"/>
    <col min="5" max="5" width="27.42578125" style="447" bestFit="1" customWidth="1"/>
    <col min="6" max="6" width="13.85546875" style="447" bestFit="1" customWidth="1"/>
    <col min="7" max="7" width="35.7109375" style="447" customWidth="1"/>
    <col min="8" max="16384" width="11.42578125" style="447"/>
  </cols>
  <sheetData>
    <row r="1" spans="1:22">
      <c r="A1" s="942" t="s">
        <v>837</v>
      </c>
      <c r="B1" s="940">
        <v>46272</v>
      </c>
      <c r="C1" s="940"/>
      <c r="D1" s="940"/>
      <c r="E1" s="940">
        <v>46273</v>
      </c>
      <c r="F1" s="940"/>
      <c r="G1" s="940"/>
      <c r="H1" s="940">
        <v>46274</v>
      </c>
      <c r="I1" s="940"/>
      <c r="J1" s="940"/>
      <c r="K1" s="940">
        <v>46275</v>
      </c>
      <c r="L1" s="940"/>
      <c r="M1" s="940"/>
      <c r="N1" s="940">
        <v>46276</v>
      </c>
      <c r="O1" s="940"/>
      <c r="P1" s="940"/>
      <c r="Q1" s="940">
        <v>46277</v>
      </c>
      <c r="R1" s="940"/>
      <c r="S1" s="940"/>
      <c r="T1" s="940">
        <v>46278</v>
      </c>
      <c r="U1" s="940"/>
      <c r="V1" s="940"/>
    </row>
    <row r="2" spans="1:22" ht="15.75" customHeight="1">
      <c r="A2" s="942"/>
      <c r="B2" s="597" t="s">
        <v>101</v>
      </c>
      <c r="C2" s="598" t="s">
        <v>827</v>
      </c>
      <c r="D2" s="598" t="s">
        <v>838</v>
      </c>
      <c r="E2" s="597" t="s">
        <v>101</v>
      </c>
      <c r="F2" s="598" t="s">
        <v>827</v>
      </c>
      <c r="G2" s="598" t="s">
        <v>838</v>
      </c>
      <c r="H2" s="597" t="s">
        <v>101</v>
      </c>
      <c r="I2" s="598" t="s">
        <v>827</v>
      </c>
      <c r="J2" s="598" t="s">
        <v>838</v>
      </c>
      <c r="K2" s="597" t="s">
        <v>101</v>
      </c>
      <c r="L2" s="598" t="s">
        <v>827</v>
      </c>
      <c r="M2" s="598" t="s">
        <v>838</v>
      </c>
      <c r="N2" s="597" t="s">
        <v>101</v>
      </c>
      <c r="O2" s="598" t="s">
        <v>827</v>
      </c>
      <c r="P2" s="598" t="s">
        <v>838</v>
      </c>
      <c r="Q2" s="597" t="s">
        <v>101</v>
      </c>
      <c r="R2" s="598" t="s">
        <v>827</v>
      </c>
      <c r="S2" s="598" t="s">
        <v>838</v>
      </c>
      <c r="T2" s="597" t="s">
        <v>101</v>
      </c>
      <c r="U2" s="598" t="s">
        <v>827</v>
      </c>
      <c r="V2" s="598" t="s">
        <v>838</v>
      </c>
    </row>
    <row r="3" spans="1:22" s="640" customFormat="1" ht="40.5" customHeight="1">
      <c r="A3" s="599" t="s">
        <v>839</v>
      </c>
      <c r="B3" s="638" t="s">
        <v>895</v>
      </c>
      <c r="C3" s="638" t="s">
        <v>605</v>
      </c>
      <c r="D3" s="639" t="s">
        <v>896</v>
      </c>
      <c r="E3" s="638" t="s">
        <v>897</v>
      </c>
      <c r="F3" s="638" t="s">
        <v>605</v>
      </c>
      <c r="G3" s="639" t="s">
        <v>898</v>
      </c>
      <c r="H3" s="641"/>
      <c r="I3" s="641"/>
      <c r="J3" s="641"/>
      <c r="K3" s="641"/>
      <c r="L3" s="641"/>
      <c r="M3" s="641"/>
      <c r="N3" s="599"/>
      <c r="O3" s="599"/>
      <c r="P3" s="599"/>
      <c r="Q3" s="599"/>
      <c r="R3" s="599"/>
      <c r="S3" s="599"/>
      <c r="T3" s="599"/>
      <c r="U3" s="599"/>
      <c r="V3" s="599"/>
    </row>
    <row r="4" spans="1:22">
      <c r="A4" s="941"/>
      <c r="B4" s="941"/>
      <c r="C4" s="941"/>
      <c r="D4" s="941"/>
      <c r="E4" s="941"/>
      <c r="F4" s="941"/>
      <c r="G4" s="941"/>
      <c r="H4" s="941"/>
      <c r="I4" s="941"/>
      <c r="J4" s="941"/>
      <c r="K4" s="941"/>
      <c r="L4" s="941"/>
      <c r="M4" s="941"/>
      <c r="N4" s="941"/>
      <c r="O4" s="941"/>
      <c r="P4" s="941"/>
      <c r="Q4" s="941"/>
      <c r="R4" s="941"/>
      <c r="S4" s="941"/>
      <c r="T4" s="941"/>
      <c r="U4" s="941"/>
      <c r="V4" s="941"/>
    </row>
    <row r="5" spans="1:22">
      <c r="A5" s="943" t="s">
        <v>837</v>
      </c>
      <c r="B5" s="940">
        <v>46279</v>
      </c>
      <c r="C5" s="940"/>
      <c r="D5" s="940"/>
      <c r="E5" s="940">
        <v>46280</v>
      </c>
      <c r="F5" s="940"/>
      <c r="G5" s="940"/>
      <c r="H5" s="940">
        <v>46281</v>
      </c>
      <c r="I5" s="940"/>
      <c r="J5" s="940"/>
      <c r="K5" s="940">
        <v>46282</v>
      </c>
      <c r="L5" s="940"/>
      <c r="M5" s="940"/>
      <c r="N5" s="940">
        <v>46283</v>
      </c>
      <c r="O5" s="940"/>
      <c r="P5" s="940"/>
      <c r="Q5" s="940">
        <v>46284</v>
      </c>
      <c r="R5" s="940"/>
      <c r="S5" s="940"/>
      <c r="T5" s="940">
        <v>46285</v>
      </c>
      <c r="U5" s="940"/>
      <c r="V5" s="940"/>
    </row>
    <row r="6" spans="1:22">
      <c r="A6" s="942"/>
      <c r="B6" s="597" t="s">
        <v>101</v>
      </c>
      <c r="C6" s="598" t="s">
        <v>827</v>
      </c>
      <c r="D6" s="598" t="s">
        <v>838</v>
      </c>
      <c r="E6" s="597" t="s">
        <v>101</v>
      </c>
      <c r="F6" s="598" t="s">
        <v>827</v>
      </c>
      <c r="G6" s="598" t="s">
        <v>838</v>
      </c>
      <c r="H6" s="597" t="s">
        <v>101</v>
      </c>
      <c r="I6" s="598" t="s">
        <v>827</v>
      </c>
      <c r="J6" s="598" t="s">
        <v>838</v>
      </c>
      <c r="K6" s="597" t="s">
        <v>101</v>
      </c>
      <c r="L6" s="598" t="s">
        <v>827</v>
      </c>
      <c r="M6" s="598" t="s">
        <v>838</v>
      </c>
      <c r="N6" s="597" t="s">
        <v>101</v>
      </c>
      <c r="O6" s="598" t="s">
        <v>827</v>
      </c>
      <c r="P6" s="598" t="s">
        <v>838</v>
      </c>
      <c r="Q6" s="597" t="s">
        <v>101</v>
      </c>
      <c r="R6" s="598" t="s">
        <v>827</v>
      </c>
      <c r="S6" s="598" t="s">
        <v>838</v>
      </c>
      <c r="T6" s="597" t="s">
        <v>101</v>
      </c>
      <c r="U6" s="598" t="s">
        <v>827</v>
      </c>
      <c r="V6" s="598" t="s">
        <v>838</v>
      </c>
    </row>
    <row r="7" spans="1:22">
      <c r="A7" s="599" t="s">
        <v>839</v>
      </c>
      <c r="B7" s="601"/>
      <c r="C7" s="601"/>
      <c r="D7" s="601"/>
      <c r="E7" s="599"/>
      <c r="F7" s="599"/>
      <c r="G7" s="600"/>
      <c r="H7" s="601"/>
      <c r="I7" s="601"/>
      <c r="J7" s="601"/>
      <c r="K7" s="601"/>
      <c r="L7" s="601"/>
      <c r="M7" s="601"/>
      <c r="N7" s="601"/>
      <c r="O7" s="601"/>
      <c r="P7" s="601"/>
      <c r="Q7" s="601"/>
      <c r="R7" s="601"/>
      <c r="S7" s="601"/>
      <c r="T7" s="601"/>
      <c r="U7" s="601"/>
      <c r="V7" s="601"/>
    </row>
    <row r="8" spans="1:22">
      <c r="A8" s="941"/>
      <c r="B8" s="941"/>
      <c r="C8" s="941"/>
      <c r="D8" s="941"/>
      <c r="E8" s="941"/>
      <c r="F8" s="941"/>
      <c r="G8" s="941"/>
      <c r="H8" s="941"/>
      <c r="I8" s="941"/>
      <c r="J8" s="941"/>
      <c r="K8" s="941"/>
      <c r="L8" s="941"/>
      <c r="M8" s="941"/>
      <c r="N8" s="941"/>
      <c r="O8" s="941"/>
      <c r="P8" s="941"/>
      <c r="Q8" s="941"/>
      <c r="R8" s="941"/>
      <c r="S8" s="941"/>
      <c r="T8" s="941"/>
      <c r="U8" s="941"/>
      <c r="V8" s="941"/>
    </row>
    <row r="9" spans="1:22">
      <c r="A9" s="943" t="s">
        <v>837</v>
      </c>
      <c r="B9" s="940">
        <v>46286</v>
      </c>
      <c r="C9" s="940"/>
      <c r="D9" s="940"/>
      <c r="E9" s="940">
        <v>46287</v>
      </c>
      <c r="F9" s="940"/>
      <c r="G9" s="940"/>
      <c r="H9" s="940">
        <v>46288</v>
      </c>
      <c r="I9" s="940"/>
      <c r="J9" s="940"/>
      <c r="K9" s="940">
        <v>46289</v>
      </c>
      <c r="L9" s="940"/>
      <c r="M9" s="940"/>
      <c r="N9" s="940">
        <v>46290</v>
      </c>
      <c r="O9" s="940"/>
      <c r="P9" s="940"/>
      <c r="Q9" s="940">
        <v>46291</v>
      </c>
      <c r="R9" s="940"/>
      <c r="S9" s="940"/>
      <c r="T9" s="940">
        <v>46292</v>
      </c>
      <c r="U9" s="940"/>
      <c r="V9" s="940"/>
    </row>
    <row r="10" spans="1:22">
      <c r="A10" s="942"/>
      <c r="B10" s="597" t="s">
        <v>101</v>
      </c>
      <c r="C10" s="598" t="s">
        <v>827</v>
      </c>
      <c r="D10" s="598" t="s">
        <v>838</v>
      </c>
      <c r="E10" s="597" t="s">
        <v>101</v>
      </c>
      <c r="F10" s="598" t="s">
        <v>827</v>
      </c>
      <c r="G10" s="598" t="s">
        <v>838</v>
      </c>
      <c r="H10" s="597" t="s">
        <v>101</v>
      </c>
      <c r="I10" s="598" t="s">
        <v>827</v>
      </c>
      <c r="J10" s="598" t="s">
        <v>838</v>
      </c>
      <c r="K10" s="597" t="s">
        <v>101</v>
      </c>
      <c r="L10" s="598" t="s">
        <v>827</v>
      </c>
      <c r="M10" s="598" t="s">
        <v>838</v>
      </c>
      <c r="N10" s="597" t="s">
        <v>101</v>
      </c>
      <c r="O10" s="598" t="s">
        <v>827</v>
      </c>
      <c r="P10" s="598" t="s">
        <v>838</v>
      </c>
      <c r="Q10" s="597" t="s">
        <v>101</v>
      </c>
      <c r="R10" s="598" t="s">
        <v>827</v>
      </c>
      <c r="S10" s="598" t="s">
        <v>838</v>
      </c>
      <c r="T10" s="597" t="s">
        <v>101</v>
      </c>
      <c r="U10" s="598" t="s">
        <v>827</v>
      </c>
      <c r="V10" s="598" t="s">
        <v>838</v>
      </c>
    </row>
    <row r="11" spans="1:22">
      <c r="A11" s="599" t="s">
        <v>839</v>
      </c>
      <c r="B11" s="601"/>
      <c r="C11" s="601"/>
      <c r="D11" s="601"/>
      <c r="E11" s="599"/>
      <c r="F11" s="599"/>
      <c r="G11" s="600"/>
      <c r="H11" s="601"/>
      <c r="I11" s="601"/>
      <c r="J11" s="601"/>
      <c r="K11" s="601"/>
      <c r="L11" s="601"/>
      <c r="M11" s="601"/>
      <c r="N11" s="601"/>
      <c r="O11" s="601"/>
      <c r="P11" s="601"/>
      <c r="Q11" s="601"/>
      <c r="R11" s="601"/>
      <c r="S11" s="601"/>
      <c r="T11" s="601"/>
      <c r="U11" s="601"/>
      <c r="V11" s="601"/>
    </row>
    <row r="12" spans="1:22">
      <c r="A12" s="941"/>
      <c r="B12" s="941"/>
      <c r="C12" s="941"/>
      <c r="D12" s="941"/>
      <c r="E12" s="941"/>
      <c r="F12" s="941"/>
      <c r="G12" s="941"/>
      <c r="H12" s="941"/>
      <c r="I12" s="941"/>
      <c r="J12" s="941"/>
      <c r="K12" s="941"/>
      <c r="L12" s="941"/>
      <c r="M12" s="941"/>
      <c r="N12" s="941"/>
      <c r="O12" s="941"/>
      <c r="P12" s="941"/>
      <c r="Q12" s="941"/>
      <c r="R12" s="941"/>
      <c r="S12" s="941"/>
      <c r="T12" s="941"/>
      <c r="U12" s="941"/>
      <c r="V12" s="941"/>
    </row>
  </sheetData>
  <mergeCells count="27">
    <mergeCell ref="T1:V1"/>
    <mergeCell ref="Q1:S1"/>
    <mergeCell ref="N1:P1"/>
    <mergeCell ref="A4:V4"/>
    <mergeCell ref="A1:A2"/>
    <mergeCell ref="B1:D1"/>
    <mergeCell ref="E1:G1"/>
    <mergeCell ref="H1:J1"/>
    <mergeCell ref="K1:M1"/>
    <mergeCell ref="A12:V12"/>
    <mergeCell ref="B5:D5"/>
    <mergeCell ref="E5:G5"/>
    <mergeCell ref="H5:J5"/>
    <mergeCell ref="K5:M5"/>
    <mergeCell ref="T5:V5"/>
    <mergeCell ref="N5:P5"/>
    <mergeCell ref="A5:A6"/>
    <mergeCell ref="A9:A10"/>
    <mergeCell ref="Q5:S5"/>
    <mergeCell ref="A8:V8"/>
    <mergeCell ref="B9:D9"/>
    <mergeCell ref="E9:G9"/>
    <mergeCell ref="H9:J9"/>
    <mergeCell ref="K9:M9"/>
    <mergeCell ref="N9:P9"/>
    <mergeCell ref="Q9:S9"/>
    <mergeCell ref="T9:V9"/>
  </mergeCells>
  <phoneticPr fontId="36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ec4e778-3d0e-4d09-aeea-a06d34a35ae1" xsi:nil="true"/>
    <lcf76f155ced4ddcb4097134ff3c332f xmlns="2faedd71-7295-477c-8d9c-e71634b96f4e">
      <Terms xmlns="http://schemas.microsoft.com/office/infopath/2007/PartnerControls"/>
    </lcf76f155ced4ddcb4097134ff3c332f>
  </documentManagement>
</p:properties>
</file>

<file path=customXml/item3.xml><?xml version="1.0" encoding="utf-8"?>
<comments xmlns="https://web.wps.cn/et/2018/main" xmlns:s="http://schemas.openxmlformats.org/spreadsheetml/2006/main">
  <commentList sheetStid="14">
    <comment s:ref="R13" rgbClr="B3C654"/>
    <comment s:ref="Y13" rgbClr="B3C654"/>
    <comment s:ref="AF13" rgbClr="B3C654"/>
    <comment s:ref="G35" rgbClr="B3C654"/>
    <comment s:ref="N35" rgbClr="B3C654"/>
    <comment s:ref="R35" rgbClr="B3C654"/>
    <comment s:ref="T35" rgbClr="B3C654"/>
    <comment s:ref="X35" rgbClr="B3C654"/>
    <comment s:ref="Y35" rgbClr="B3C654"/>
    <comment s:ref="AA35" rgbClr="B3C654"/>
    <comment s:ref="AE35" rgbClr="B3C654"/>
    <comment s:ref="AF35" rgbClr="B3C654"/>
  </commentList>
  <commentList sheetStid="7">
    <comment s:ref="J27" rgbClr="B3C654"/>
    <comment s:ref="Q27" rgbClr="B3C654"/>
    <comment s:ref="X27" rgbClr="B3C654"/>
    <comment s:ref="AE27" rgbClr="B3C654"/>
    <comment s:ref="I53" rgbClr="B3C654"/>
    <comment s:ref="J53" rgbClr="B3C654"/>
    <comment s:ref="K53" rgbClr="B3C654"/>
    <comment s:ref="P53" rgbClr="B3C654"/>
    <comment s:ref="Q53" rgbClr="B3C654"/>
    <comment s:ref="R53" rgbClr="B3C654"/>
    <comment s:ref="AD53" rgbClr="B3C654"/>
    <comment s:ref="AE53" rgbClr="B3C654"/>
    <comment s:ref="AF53" rgbClr="B3C654"/>
    <comment s:ref="G76" rgbClr="B3C654"/>
    <comment s:ref="H76" rgbClr="B3C654"/>
    <comment s:ref="K76" rgbClr="B3C654"/>
    <comment s:ref="O76" rgbClr="B3C654"/>
    <comment s:ref="R76" rgbClr="B3C654"/>
    <comment s:ref="U76" rgbClr="B3C654"/>
    <comment s:ref="Y76" rgbClr="B3C654"/>
    <comment s:ref="AA76" rgbClr="B3C654"/>
    <comment s:ref="AE76" rgbClr="B3C654"/>
    <comment s:ref="AF76" rgbClr="B3C654"/>
  </commentList>
  <commentList sheetStid="10">
    <comment s:ref="F33" rgbClr="B3C654"/>
    <comment s:ref="H33" rgbClr="B3C654"/>
    <comment s:ref="J33" rgbClr="B3C654"/>
    <comment s:ref="N33" rgbClr="B3C654"/>
    <comment s:ref="Q33" rgbClr="B3C654"/>
    <comment s:ref="X33" rgbClr="B3C654"/>
    <comment s:ref="AB33" rgbClr="B3C654"/>
    <comment s:ref="AE33" rgbClr="B3C654"/>
    <comment s:ref="AF33" rgbClr="B3C654"/>
    <comment s:ref="E43" rgbClr="B3C654"/>
    <comment s:ref="F43" rgbClr="B3C654"/>
    <comment s:ref="K43" rgbClr="B3C654"/>
    <comment s:ref="L43" rgbClr="B3C654"/>
    <comment s:ref="M43" rgbClr="B3C654"/>
    <comment s:ref="S43" rgbClr="B3C654"/>
    <comment s:ref="T43" rgbClr="B3C654"/>
    <comment s:ref="Z43" rgbClr="B3C654"/>
    <comment s:ref="AA43" rgbClr="B3C654"/>
    <comment s:ref="AB43" rgbClr="B3C654"/>
    <comment s:ref="F50" rgbClr="B3C654"/>
    <comment s:ref="M50" rgbClr="B3C654"/>
    <comment s:ref="T50" rgbClr="B3C654"/>
    <comment s:ref="AA50" rgbClr="B3C654"/>
    <comment s:ref="J57" rgbClr="B3C654"/>
    <comment s:ref="Q57" rgbClr="B3C654"/>
    <comment s:ref="X57" rgbClr="B3C654"/>
    <comment s:ref="AE57" rgbClr="B3C654"/>
    <comment s:ref="R58" rgbClr="B3C654"/>
    <comment s:ref="Y58" rgbClr="B3C654"/>
    <comment s:ref="AF58" rgbClr="B3C654"/>
  </commentList>
  <commentList sheetStid="5">
    <comment s:ref="F17" rgbClr="B3C654"/>
    <comment s:ref="J17" rgbClr="B3C654"/>
    <comment s:ref="K17" rgbClr="B3C654"/>
    <comment s:ref="M17" rgbClr="B3C654"/>
    <comment s:ref="N17" rgbClr="B3C654"/>
    <comment s:ref="R17" rgbClr="B3C654"/>
    <comment s:ref="U17" rgbClr="B3C654"/>
    <comment s:ref="Y17" rgbClr="B3C654"/>
    <comment s:ref="AA17" rgbClr="B3C654"/>
    <comment s:ref="AB17" rgbClr="B3C654"/>
    <comment s:ref="AE17" rgbClr="B3C654"/>
    <comment s:ref="AF17" rgbClr="B3C654"/>
    <comment s:ref="E39" rgbClr="B3C654"/>
    <comment s:ref="G39" rgbClr="B3C654"/>
    <comment s:ref="H39" rgbClr="B3C654"/>
    <comment s:ref="L39" rgbClr="B3C654"/>
    <comment s:ref="O39" rgbClr="B3C654"/>
    <comment s:ref="S39" rgbClr="B3C654"/>
    <comment s:ref="T39" rgbClr="B3C654"/>
    <comment s:ref="V39" rgbClr="B3C654"/>
    <comment s:ref="W39" rgbClr="B3C654"/>
    <comment s:ref="Z39" rgbClr="B3C654"/>
    <comment s:ref="AA39" rgbClr="B3C654"/>
    <comment s:ref="AC39" rgbClr="B3C654"/>
    <comment s:ref="E65" rgbClr="B3C654"/>
    <comment s:ref="F65" rgbClr="B3C654"/>
    <comment s:ref="G65" rgbClr="B3C654"/>
    <comment s:ref="J65" rgbClr="B3C654"/>
    <comment s:ref="K65" rgbClr="B3C654"/>
    <comment s:ref="L65" rgbClr="B3C654"/>
    <comment s:ref="M65" rgbClr="B3C654"/>
    <comment s:ref="P65" rgbClr="B3C654"/>
    <comment s:ref="Q65" rgbClr="B3C654"/>
    <comment s:ref="R65" rgbClr="B3C654"/>
    <comment s:ref="S65" rgbClr="B3C654"/>
    <comment s:ref="T65" rgbClr="B3C654"/>
    <comment s:ref="X65" rgbClr="B3C654"/>
    <comment s:ref="Y65" rgbClr="B3C654"/>
    <comment s:ref="Z65" rgbClr="B3C654"/>
    <comment s:ref="AA65" rgbClr="B3C654"/>
    <comment s:ref="AB65" rgbClr="B3C654"/>
    <comment s:ref="AE65" rgbClr="B3C654"/>
    <comment s:ref="AF65" rgbClr="B3C654"/>
  </commentList>
</comment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CA1CF56F4A4A344A616286080DDA0BB" ma:contentTypeVersion="11" ma:contentTypeDescription="Crear nuevo documento." ma:contentTypeScope="" ma:versionID="12f75936648e356820afd34f35090df7">
  <xsd:schema xmlns:xsd="http://www.w3.org/2001/XMLSchema" xmlns:xs="http://www.w3.org/2001/XMLSchema" xmlns:p="http://schemas.microsoft.com/office/2006/metadata/properties" xmlns:ns2="2faedd71-7295-477c-8d9c-e71634b96f4e" xmlns:ns3="bec4e778-3d0e-4d09-aeea-a06d34a35ae1" targetNamespace="http://schemas.microsoft.com/office/2006/metadata/properties" ma:root="true" ma:fieldsID="feb923e4750c064dc5dfca89869f8a93" ns2:_="" ns3:_="">
    <xsd:import namespace="2faedd71-7295-477c-8d9c-e71634b96f4e"/>
    <xsd:import namespace="bec4e778-3d0e-4d09-aeea-a06d34a35a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aedd71-7295-477c-8d9c-e71634b96f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75e3a07-3a75-4299-9dba-0545cd414c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4e778-3d0e-4d09-aeea-a06d34a35ae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6aea2e-5952-4c28-b276-e941b067cfd8}" ma:internalName="TaxCatchAll" ma:showField="CatchAllData" ma:web="bec4e778-3d0e-4d09-aeea-a06d34a35ae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B55504-0445-489F-AD80-5BB2F45FAE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6273335-319A-4B67-84E0-18104CB1573D}">
  <ds:schemaRefs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elements/1.1/"/>
    <ds:schemaRef ds:uri="http://schemas.openxmlformats.org/package/2006/metadata/core-properties"/>
    <ds:schemaRef ds:uri="bec4e778-3d0e-4d09-aeea-a06d34a35ae1"/>
    <ds:schemaRef ds:uri="2faedd71-7295-477c-8d9c-e71634b96f4e"/>
  </ds:schemaRefs>
</ds:datastoreItem>
</file>

<file path=customXml/itemProps3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39C9A07A-B318-44A4-A219-76AD3E1622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aedd71-7295-477c-8d9c-e71634b96f4e"/>
    <ds:schemaRef ds:uri="bec4e778-3d0e-4d09-aeea-a06d34a35ae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DOTACION</vt:lpstr>
      <vt:lpstr>ESTRUCTURA</vt:lpstr>
      <vt:lpstr>CONTROL FLOTANTE</vt:lpstr>
      <vt:lpstr>NORTE</vt:lpstr>
      <vt:lpstr>CENTRO</vt:lpstr>
      <vt:lpstr>CEMENTERIO</vt:lpstr>
      <vt:lpstr>C.C Y LOTERIA</vt:lpstr>
      <vt:lpstr>REGIONAL</vt:lpstr>
      <vt:lpstr>RANGER</vt:lpstr>
      <vt:lpstr>SEMEDIC</vt:lpstr>
      <vt:lpstr>CASA TOTAL</vt:lpstr>
      <vt:lpstr>SUPERVISORES</vt:lpstr>
      <vt:lpstr>DHL MECANO</vt:lpstr>
      <vt:lpstr>Hoja1</vt:lpstr>
      <vt:lpstr>HORARIO FLOTANTE</vt:lpstr>
    </vt:vector>
  </TitlesOfParts>
  <Manager/>
  <Company>Hewlett-Packard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</dc:creator>
  <cp:keywords/>
  <dc:description/>
  <cp:lastModifiedBy>Lider Operativo</cp:lastModifiedBy>
  <cp:revision/>
  <dcterms:created xsi:type="dcterms:W3CDTF">2017-01-12T00:31:00Z</dcterms:created>
  <dcterms:modified xsi:type="dcterms:W3CDTF">2026-09-11T22:10:13Z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41D696D60B484BA3A80F4C6E6E667A81</vt:lpwstr>
  </property>
  <property fmtid="{D5CDD505-2E9C-101B-9397-08002B2CF9AE}" pid="3" name="KSOProductBuildVer">
    <vt:lpwstr>2058-11.2.0.11486</vt:lpwstr>
  </property>
  <property fmtid="{D5CDD505-2E9C-101B-9397-08002B2CF9AE}" pid="4" name="ContentTypeId">
    <vt:lpwstr>0x0101004CA1CF56F4A4A344A616286080DDA0BB</vt:lpwstr>
  </property>
  <property fmtid="{D5CDD505-2E9C-101B-9397-08002B2CF9AE}" pid="5" name="MediaServiceImageTags">
    <vt:lpwstr/>
  </property>
</Properties>
</file>